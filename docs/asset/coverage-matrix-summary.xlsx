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xmlns:r="http://schemas.openxmlformats.org/officeDocument/2006/relationships" name="引用文档一览" sheetId="1" state="visible" r:id="rId1"/>
    <sheet xmlns:r="http://schemas.openxmlformats.org/officeDocument/2006/relationships" name="1.使い方" sheetId="2" state="visible" r:id="rId2"/>
    <sheet xmlns:r="http://schemas.openxmlformats.org/officeDocument/2006/relationships" name="2.要件一覧" sheetId="3" state="visible" r:id="rId3"/>
    <sheet xmlns:r="http://schemas.openxmlformats.org/officeDocument/2006/relationships" name="3.機能一覧" sheetId="4" state="visible" r:id="rId4"/>
    <sheet xmlns:r="http://schemas.openxmlformats.org/officeDocument/2006/relationships" name="4.画面一覧" sheetId="5" state="visible" r:id="rId5"/>
    <sheet xmlns:r="http://schemas.openxmlformats.org/officeDocument/2006/relationships" name="5.BIZ一覧" sheetId="6" state="visible" r:id="rId6"/>
    <sheet xmlns:r="http://schemas.openxmlformats.org/officeDocument/2006/relationships" name="6.ルール一覧" sheetId="7" state="visible" r:id="rId7"/>
    <sheet xmlns:r="http://schemas.openxmlformats.org/officeDocument/2006/relationships" name="7.用語集" sheetId="8" state="visible" r:id="rId8"/>
    <sheet xmlns:r="http://schemas.openxmlformats.org/officeDocument/2006/relationships" name="8.IF・CD・CF・A一覧" sheetId="9" state="visible" r:id="rId9"/>
    <sheet xmlns:r="http://schemas.openxmlformats.org/officeDocument/2006/relationships" name="9.MV一覧" sheetId="10" state="visible" r:id="rId10"/>
    <sheet xmlns:r="http://schemas.openxmlformats.org/officeDocument/2006/relationships" name="10.TC一覧" sheetId="11" state="visible" r:id="rId11"/>
    <sheet xmlns:r="http://schemas.openxmlformats.org/officeDocument/2006/relationships" name="11.画面項目・MSG" sheetId="12" state="visible" r:id="rId12"/>
    <sheet xmlns:r="http://schemas.openxmlformats.org/officeDocument/2006/relationships" name="12.課題・決策・CHK内部ID" sheetId="13" state="visible" r:id="rId13"/>
    <sheet xmlns:r="http://schemas.openxmlformats.org/officeDocument/2006/relationships" name="13.文書ID台帳" sheetId="14" state="visible" r:id="rId14"/>
    <sheet xmlns:r="http://schemas.openxmlformats.org/officeDocument/2006/relationships" name="14.要件×機能行列" sheetId="15" state="visible" r:id="rId15"/>
    <sheet xmlns:r="http://schemas.openxmlformats.org/officeDocument/2006/relationships" name="15.機能×画面行列" sheetId="16" state="visible" r:id="rId16"/>
    <sheet xmlns:r="http://schemas.openxmlformats.org/officeDocument/2006/relationships" name="16.サマリー" sheetId="17" state="visible" r:id="rId17"/>
  </sheets>
  <definedNames>
    <definedName name="_xlnm._FilterDatabase" localSheetId="2" hidden="1">'2.要件一覧'!$A$3:$I$63</definedName>
    <definedName name="_xlnm._FilterDatabase" localSheetId="3" hidden="1">'3.機能一覧'!$A$3:$J$63</definedName>
    <definedName name="_xlnm._FilterDatabase" localSheetId="4" hidden="1">'4.画面一覧'!$A$3:$H$83</definedName>
    <definedName name="_xlnm.Print_Titles" localSheetId="14">'14.要件×機能行列'!$3:$3,'14.要件×機能行列'!$A:$A</definedName>
    <definedName name="_xlnm.Print_Titles" localSheetId="15">'15.機能×画面行列'!$3:$3,'15.機能×画面行列'!$A:$A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_ * #,##0_ ;_ * \-#,##0_ ;_ * &quot;-&quot;??_ ;_ @_ "/>
    <numFmt numFmtId="166" formatCode="_-&quot;\&quot;* #,##0_-\ ;\-&quot;\&quot;* #,##0_-\ ;_-&quot;\&quot;* &quot;-&quot;??_-\ ;_-@_-"/>
    <numFmt numFmtId="167" formatCode="_-&quot;\&quot;* #,##0.00_-\ ;\-&quot;\&quot;* #,##0.00_-\ ;_-&quot;\&quot;* &quot;-&quot;??_-\ ;_-@_-"/>
  </numFmts>
  <fonts count="35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808080"/>
      <sz val="9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000000"/>
      <sz val="10"/>
    </font>
    <font>
      <name val="Microsoft YaHei"/>
      <charset val="134"/>
      <color rgb="FF000000"/>
      <sz val="10"/>
    </font>
    <font>
      <name val="Microsoft YaHei"/>
      <charset val="134"/>
      <b val="1"/>
      <color rgb="FF000000"/>
      <sz val="12"/>
    </font>
    <font>
      <name val="Microsoft YaHei"/>
      <charset val="134"/>
      <b val="1"/>
      <color rgb="FF1F3864"/>
      <sz val="11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000000"/>
      <sz val="9"/>
    </font>
    <font>
      <name val="宋体"/>
      <charset val="134"/>
      <b val="1"/>
      <sz val="12"/>
      <scheme val="minor"/>
    </font>
    <font>
      <name val="宋体"/>
      <charset val="134"/>
      <color rgb="FF808080"/>
      <sz val="9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1F4E79"/>
      <sz val="11"/>
      <scheme val="minor"/>
    </font>
    <font>
      <name val="Microsoft YaHei"/>
      <charset val="134"/>
      <i val="1"/>
      <color rgb="FF808080"/>
      <sz val="10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C8A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9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10" borderId="7" applyAlignment="1">
      <alignment vertical="center"/>
    </xf>
    <xf numFmtId="0" fontId="25" fillId="5" borderId="8" applyAlignment="1">
      <alignment vertical="center"/>
    </xf>
    <xf numFmtId="0" fontId="26" fillId="5" borderId="7" applyAlignment="1">
      <alignment vertical="center"/>
    </xf>
    <xf numFmtId="0" fontId="27" fillId="11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2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7" borderId="0" pivotButton="0" quotePrefix="0" xfId="0"/>
    <xf numFmtId="0" fontId="13" fillId="8" borderId="0" pivotButton="0" quotePrefix="0" xfId="0"/>
    <xf numFmtId="0" fontId="0" fillId="8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5" fillId="0" borderId="0" pivotButton="0" quotePrefix="0" xfId="0"/>
    <xf numFmtId="164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activeCell="A1" sqref="A1"/>
      <selection pane="bottomLeft" activeCell="D23" sqref="D23"/>
    </sheetView>
  </sheetViews>
  <sheetFormatPr baseColWidth="8" defaultColWidth="9" defaultRowHeight="13.5"/>
  <cols>
    <col width="12" customWidth="1" min="1" max="1"/>
    <col width="44" customWidth="1" min="2" max="2"/>
    <col width="52" customWidth="1" min="3" max="3"/>
    <col width="76.625" customWidth="1" min="4" max="4"/>
    <col width="41.375" customWidth="1" min="5" max="5"/>
  </cols>
  <sheetData>
    <row r="1" ht="14.25" customHeight="1">
      <c r="A1" s="19" t="inlineStr">
        <is>
          <t>引用文档一览</t>
        </is>
      </c>
    </row>
    <row r="2">
      <c r="A2" s="20" t="inlineStr">
        <is>
          <t>本ブックが参照した语料文書の一覧。パスは docs/asset 相対。ID の权威源は IDR-01（ID 台账）。</t>
        </is>
      </c>
    </row>
    <row r="3">
      <c r="A3" s="21" t="inlineStr">
        <is>
          <t>文書ID</t>
        </is>
      </c>
      <c r="B3" s="21" t="inlineStr">
        <is>
          <t>文書名（ファイル）</t>
        </is>
      </c>
      <c r="C3" s="21" t="inlineStr">
        <is>
          <t>パス（docs/asset 相対）</t>
        </is>
      </c>
      <c r="D3" s="21" t="inlineStr">
        <is>
          <t>本ブックでの参照先</t>
        </is>
      </c>
      <c r="E3" s="21" t="inlineStr">
        <is>
          <t>備考</t>
        </is>
      </c>
    </row>
    <row r="4">
      <c r="A4" t="inlineStr">
        <is>
          <t>IDR-01</t>
        </is>
      </c>
      <c r="B4" t="inlineStr">
        <is>
          <t>interview-portfolio-id-registry.md</t>
        </is>
      </c>
      <c r="C4" t="inlineStr">
        <is>
          <t>requirement-definition-draft/interview-portfolio-id-registry.md</t>
        </is>
      </c>
      <c r="D4" t="inlineStr">
        <is>
          <t>全体（ID 系列の权威源・实施状态の判定根拠）</t>
        </is>
      </c>
      <c r="E4" t="inlineStr">
        <is>
          <t>V1.4</t>
        </is>
      </c>
    </row>
    <row r="5">
      <c r="A5" t="inlineStr">
        <is>
          <t>RD-01</t>
        </is>
      </c>
      <c r="B5" t="inlineStr">
        <is>
          <t>01_要件一覧.md</t>
        </is>
      </c>
      <c r="C5" t="inlineStr">
        <is>
          <t>requirement-definition/01_要件一覧.md</t>
        </is>
      </c>
      <c r="D5" t="inlineStr">
        <is>
          <t>2.要件一覧・5.BIZ一覧（J 列 COUNTIF 键）・14.要件×機能行列（○ 出典）</t>
        </is>
      </c>
    </row>
    <row r="6">
      <c r="A6" t="inlineStr">
        <is>
          <t>RD-02</t>
        </is>
      </c>
      <c r="B6" t="inlineStr">
        <is>
          <t>02_非機能要件一覧.md</t>
        </is>
      </c>
      <c r="C6" t="inlineStr">
        <is>
          <t>requirement-definition/02_非機能要件一覧.md</t>
        </is>
      </c>
      <c r="D6" t="inlineStr">
        <is>
          <t>2.要件一覧（NFR 行）</t>
        </is>
      </c>
    </row>
    <row r="7">
      <c r="A7" t="inlineStr">
        <is>
          <t>RD-03</t>
        </is>
      </c>
      <c r="B7" t="inlineStr">
        <is>
          <t>03_業務一覧.md</t>
        </is>
      </c>
      <c r="C7" t="inlineStr">
        <is>
          <t>requirement-definition/03_業務一覧.md</t>
        </is>
      </c>
      <c r="D7" t="inlineStr">
        <is>
          <t>5.BIZ一覧</t>
        </is>
      </c>
    </row>
    <row r="8">
      <c r="A8" t="inlineStr">
        <is>
          <t>RD-05</t>
        </is>
      </c>
      <c r="B8" t="inlineStr">
        <is>
          <t>05_業務ルール一覧.md</t>
        </is>
      </c>
      <c r="C8" t="inlineStr">
        <is>
          <t>requirement-definition/05_業務ルール一覧.md</t>
        </is>
      </c>
      <c r="D8" t="inlineStr">
        <is>
          <t>6.ルール一覧</t>
        </is>
      </c>
    </row>
    <row r="9">
      <c r="A9" t="inlineStr">
        <is>
          <t>RD-06</t>
        </is>
      </c>
      <c r="B9" t="inlineStr">
        <is>
          <t>06_用語集.md</t>
        </is>
      </c>
      <c r="C9" t="inlineStr">
        <is>
          <t>requirement-definition/06_用語集.md</t>
        </is>
      </c>
      <c r="D9" t="inlineStr">
        <is>
          <t>7.用語集</t>
        </is>
      </c>
    </row>
    <row r="10">
      <c r="A10" t="inlineStr">
        <is>
          <t>RD-08</t>
        </is>
      </c>
      <c r="B10" t="inlineStr">
        <is>
          <t>08_ToBe業務モデルと現状課題.md</t>
        </is>
      </c>
      <c r="C10" t="inlineStr">
        <is>
          <t>requirement-definition/08_ToBe業務モデルと現状課題.md</t>
        </is>
      </c>
      <c r="D10" t="inlineStr">
        <is>
          <t>12.課題…（ISS）</t>
        </is>
      </c>
    </row>
    <row r="11">
      <c r="A11" t="inlineStr">
        <is>
          <t>BD-01</t>
        </is>
      </c>
      <c r="B11" t="inlineStr">
        <is>
          <t>system-architecture.md</t>
        </is>
      </c>
      <c r="C11" t="inlineStr">
        <is>
          <t>basic-design/system-architecture.md</t>
        </is>
      </c>
      <c r="D11" t="inlineStr">
        <is>
          <t>8.IF・CD・CF・A一覧（A1〜A4）</t>
        </is>
      </c>
    </row>
    <row r="12">
      <c r="A12" t="inlineStr">
        <is>
          <t>BD-02</t>
        </is>
      </c>
      <c r="B12" t="inlineStr">
        <is>
          <t>function-list.md</t>
        </is>
      </c>
      <c r="C12" t="inlineStr">
        <is>
          <t>basic-design/function-list.md</t>
        </is>
      </c>
      <c r="D12" t="inlineStr">
        <is>
          <t>3.機能一覧・15.機能×画面行列</t>
        </is>
      </c>
    </row>
    <row r="13">
      <c r="A13" t="inlineStr">
        <is>
          <t>BD-04</t>
        </is>
      </c>
      <c r="B13" t="inlineStr">
        <is>
          <t>screens.md</t>
        </is>
      </c>
      <c r="C13" t="inlineStr">
        <is>
          <t>basic-design/screens.md</t>
        </is>
      </c>
      <c r="D13" t="inlineStr">
        <is>
          <t>4.画面一覧・15.機能×画面行列</t>
        </is>
      </c>
    </row>
    <row r="14">
      <c r="A14" t="inlineStr">
        <is>
          <t>BD-05</t>
        </is>
      </c>
      <c r="B14" t="inlineStr">
        <is>
          <t>screen-items.md</t>
        </is>
      </c>
      <c r="C14" t="inlineStr">
        <is>
          <t>basic-design/screen-items.md</t>
        </is>
      </c>
      <c r="D14" t="inlineStr">
        <is>
          <t>11.画面項目・MSG</t>
        </is>
      </c>
    </row>
    <row r="15">
      <c r="A15" t="inlineStr">
        <is>
          <t>BD-08</t>
        </is>
      </c>
      <c r="B15" t="inlineStr">
        <is>
          <t>code-list.md</t>
        </is>
      </c>
      <c r="C15" t="inlineStr">
        <is>
          <t>basic-design/code-list.md</t>
        </is>
      </c>
      <c r="D15" t="inlineStr">
        <is>
          <t>8.IF・CD・CF・A一覧（CD）</t>
        </is>
      </c>
    </row>
    <row r="16">
      <c r="A16" t="inlineStr">
        <is>
          <t>BD-09</t>
        </is>
      </c>
      <c r="B16" t="inlineStr">
        <is>
          <t>interface-design.md</t>
        </is>
      </c>
      <c r="C16" t="inlineStr">
        <is>
          <t>basic-design/interface-design.md</t>
        </is>
      </c>
      <c r="D16" t="inlineStr">
        <is>
          <t>8.IF・CD・CF・A一覧（IF）</t>
        </is>
      </c>
      <c r="E16" t="inlineStr">
        <is>
          <t>MV-03 検証日の一次記録は PPT-01/IDR-01</t>
        </is>
      </c>
    </row>
    <row r="17">
      <c r="A17" t="inlineStr">
        <is>
          <t>BD-11</t>
        </is>
      </c>
      <c r="B17" t="inlineStr">
        <is>
          <t>common-design.md</t>
        </is>
      </c>
      <c r="C17" t="inlineStr">
        <is>
          <t>basic-design/common-design.md</t>
        </is>
      </c>
      <c r="D17" t="inlineStr">
        <is>
          <t>8.IF・CD・CF・A一覧（CF）</t>
        </is>
      </c>
    </row>
    <row r="18">
      <c r="A18" t="inlineStr">
        <is>
          <t>DD-04</t>
        </is>
      </c>
      <c r="B18" t="inlineStr">
        <is>
          <t>unit-test-spec.md</t>
        </is>
      </c>
      <c r="C18" t="inlineStr">
        <is>
          <t>detailed-design/unit-test-spec.md</t>
        </is>
      </c>
      <c r="D18" t="inlineStr">
        <is>
          <t>10.TC一覧</t>
        </is>
      </c>
    </row>
    <row r="19">
      <c r="A19" t="inlineStr">
        <is>
          <t>—（無 ID）</t>
        </is>
      </c>
      <c r="B19" t="inlineStr">
        <is>
          <t>experience-site-mvp-validation.md</t>
        </is>
      </c>
      <c r="C19" t="inlineStr">
        <is>
          <t>experience-site-mvp-validation.md</t>
        </is>
      </c>
      <c r="D19" t="inlineStr">
        <is>
          <t>9.MV一覧・16.サマリー判定口径</t>
        </is>
      </c>
    </row>
    <row r="20">
      <c r="A20" t="inlineStr">
        <is>
          <t>—（無 ID）</t>
        </is>
      </c>
      <c r="B20" t="inlineStr">
        <is>
          <t>interview-portfolio-tech-decisions.md</t>
        </is>
      </c>
      <c r="C20" t="inlineStr">
        <is>
          <t>interview-portfolio-tech-decisions.md</t>
        </is>
      </c>
      <c r="D20" t="inlineStr">
        <is>
          <t>12.課題…（G/ADR）</t>
        </is>
      </c>
    </row>
    <row r="21">
      <c r="A21" t="inlineStr">
        <is>
          <t>CHK-01</t>
        </is>
      </c>
      <c r="B21" t="inlineStr">
        <is>
          <t>p0-2/interview-portfolio-p02-checklist.md</t>
        </is>
      </c>
      <c r="C21" t="inlineStr">
        <is>
          <t>p0-2/interview-portfolio-p02-checklist.md</t>
        </is>
      </c>
      <c r="D21" t="inlineStr">
        <is>
          <t>12.課題…（CHK 内部 ID）</t>
        </is>
      </c>
      <c r="E21" t="inlineStr">
        <is>
          <t>V1.7</t>
        </is>
      </c>
    </row>
    <row r="22">
      <c r="A22" t="inlineStr">
        <is>
          <t>PPT-01</t>
        </is>
      </c>
      <c r="B22" t="inlineStr">
        <is>
          <t>interview-portfolio-phase-table.md</t>
        </is>
      </c>
      <c r="C22" t="inlineStr">
        <is>
          <t>interview-portfolio-phase-table.md</t>
        </is>
      </c>
      <c r="D22" t="inlineStr">
        <is>
          <t>12.課題…（P0-n 工程）</t>
        </is>
      </c>
      <c r="E22" t="inlineStr">
        <is>
          <t>V1.5</t>
        </is>
      </c>
    </row>
    <row r="23">
      <c r="A23" t="inlineStr">
        <is>
          <t>—</t>
        </is>
      </c>
      <c r="B23" t="inlineStr">
        <is>
          <t>coverage-matrix-summary.xlsx（雛形）</t>
        </is>
      </c>
      <c r="C23" t="inlineStr">
        <is>
          <t>../coverage-matrix-summary.xlsx（docs/ 直下）</t>
        </is>
      </c>
      <c r="D23" t="inlineStr">
        <is>
          <t>全体（書式・式パターンの母体）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D43"/>
  <sheetViews>
    <sheetView tabSelected="1" topLeftCell="A2" workbookViewId="0">
      <selection activeCell="H10" sqref="H10"/>
    </sheetView>
  </sheetViews>
  <sheetFormatPr baseColWidth="8" defaultColWidth="9" defaultRowHeight="13.5"/>
  <cols>
    <col width="4" customWidth="1" min="1" max="1"/>
    <col width="22" customWidth="1" min="2" max="2"/>
    <col width="96" customWidth="1" min="3" max="3"/>
    <col width="109.125" customWidth="1" min="4" max="4"/>
  </cols>
  <sheetData>
    <row r="1" ht="26" customHeight="1">
      <c r="A1" s="1" t="inlineStr">
        <is>
          <t>要件 × 機能 × 画面　カバレッジ行列テンプレート</t>
        </is>
      </c>
    </row>
    <row r="2" ht="22" customHeight="1">
      <c r="A2" s="2" t="inlineStr">
        <is>
          <t>用途：要件定义 / 基本设计阶段，检查「有没有漏配」。橙色底 = 未割当（有漏），绿色底 = OK。</t>
        </is>
      </c>
    </row>
    <row r="4" ht="34" customHeight="1">
      <c r="B4" s="3" t="inlineStr">
        <is>
          <t>步骤</t>
        </is>
      </c>
      <c r="C4" s="26" t="inlineStr">
        <is>
          <t>做什么</t>
        </is>
      </c>
      <c r="D4" s="26" t="inlineStr">
        <is>
          <t>说明</t>
        </is>
      </c>
    </row>
    <row r="5" ht="34" customHeight="1">
      <c r="B5" s="27" t="inlineStr">
        <is>
          <t>STEP 1</t>
        </is>
      </c>
      <c r="C5" s="8" t="inlineStr">
        <is>
          <t>确认「引用文档一览」</t>
        </is>
      </c>
      <c r="D5" s="8" t="inlineStr">
        <is>
          <t>「引用文档一览」登记本ブック全数据的出典文書清单，与 ID 台账（IDR-01）对应。新建任何 ID 之前，先在此确认定义源是否已登记。</t>
        </is>
      </c>
    </row>
    <row r="6" ht="34" customHeight="1">
      <c r="B6" s="27" t="inlineStr">
        <is>
          <t>STEP 2</t>
        </is>
      </c>
      <c r="C6" s="8" t="inlineStr">
        <is>
          <t>填写「2.要件一覧」</t>
        </is>
      </c>
      <c r="D6" s="8" t="inlineStr">
        <is>
          <t>逐条登记要件，给每个要件一个唯一 ID。分类、优先级、验收条件建议必填——验收条件缺失会导致后期无法判定是否做完。J 列（対応業務 ID）是「5.BIZ一覧」対応要件数 COUNTIF 的集計键，漏填会静默计 0；K 列实施状态按语料进度维护。</t>
        </is>
      </c>
    </row>
    <row r="7" ht="34" customHeight="1">
      <c r="B7" s="27" t="inlineStr">
        <is>
          <t>STEP 3</t>
        </is>
      </c>
      <c r="C7" s="8" t="inlineStr">
        <is>
          <t>填写「3.機能一覧」</t>
        </is>
      </c>
      <c r="D7" s="8" t="inlineStr">
        <is>
          <t>把要件拆解为系统机能。担当ロール 决定后面的权限设计，新規/改修 决定影响范围。</t>
        </is>
      </c>
    </row>
    <row r="8" ht="34" customHeight="1">
      <c r="B8" s="27" t="inlineStr">
        <is>
          <t>STEP 4</t>
        </is>
      </c>
      <c r="C8" s="8" t="inlineStr">
        <is>
          <t>填写「4.画面一覧」</t>
        </is>
      </c>
      <c r="D8" s="8" t="inlineStr">
        <is>
          <t>登记所有画面，含弹窗、确认页、错误页。漏登记画面是测试阶段缺陷的高发原因。</t>
        </is>
      </c>
    </row>
    <row r="9" ht="34" customHeight="1">
      <c r="B9" s="27" t="inlineStr">
        <is>
          <t>STEP 5</t>
        </is>
      </c>
      <c r="C9" s="8" t="inlineStr">
        <is>
          <t>填写一览系台账「5.BIZ一覧」〜「13.文書ID台帳」</t>
        </is>
      </c>
      <c r="D9" s="8" t="inlineStr">
        <is>
          <t>填写一览系台账：5.BIZ一覧・6.ルール一覧・7.用語集・8.IF・CD・CF・A一覧・9.MV一覧・10.TC一覧・11.画面項目・MSG・12.課題・決策・CHK内部ID・13.文書ID台帳，各一览均含实施状态列。10.TC一覧 E 列（対応MV）是「9.MV一覧」対応TC数 COUNTIF 的集計键，漏填会静默计 0。</t>
        </is>
      </c>
    </row>
    <row r="10" ht="34" customHeight="1">
      <c r="B10" s="27" t="inlineStr">
        <is>
          <t>STEP 6</t>
        </is>
      </c>
      <c r="C10" s="8" t="inlineStr">
        <is>
          <t>在「14.要件×機能行列」打○</t>
        </is>
      </c>
      <c r="D10" s="8" t="inlineStr">
        <is>
          <t>行=要件，列=機能。有对应关系的交叉格填「○」（下拉选择）。右侧「合計」「判定」自动计算。</t>
        </is>
      </c>
    </row>
    <row r="11" ht="34" customHeight="1">
      <c r="B11" s="27" t="inlineStr">
        <is>
          <t>STEP 7</t>
        </is>
      </c>
      <c r="C11" s="8" t="inlineStr">
        <is>
          <t>在「15.機能×画面行列」打○</t>
        </is>
      </c>
      <c r="D11" s="8" t="inlineStr">
        <is>
          <t>行=機能，列=画面。逻辑同上。</t>
        </is>
      </c>
    </row>
    <row r="12" ht="34" customHeight="1">
      <c r="B12" s="27" t="inlineStr">
        <is>
          <t>STEP 8</t>
        </is>
      </c>
      <c r="C12" s="8" t="inlineStr">
        <is>
          <t>看「16.サマリー」查漏</t>
        </is>
      </c>
      <c r="D12" s="8" t="inlineStr">
        <is>
          <t>缺口数量与覆盖率自动统计。目标：所有未割当数为 0。</t>
        </is>
      </c>
    </row>
    <row r="14" ht="15" customHeight="1">
      <c r="B14" s="13" t="inlineStr">
        <is>
          <t>判定规则</t>
        </is>
      </c>
    </row>
    <row r="15" ht="30" customHeight="1">
      <c r="B15" s="27" t="inlineStr">
        <is>
          <t>⚠ 未割当（要件→機能）</t>
        </is>
      </c>
      <c r="C15" s="8" t="inlineStr">
        <is>
          <t>某个要件没有任何机能承接 → 这个需求做不出来，必须补机能或明确 Won't 并让客户签字。</t>
        </is>
      </c>
    </row>
    <row r="16" ht="30" customHeight="1">
      <c r="B16" s="27" t="inlineStr">
        <is>
          <t>⚠ 要件未紐付（機能）</t>
        </is>
      </c>
      <c r="C16" s="8" t="inlineStr">
        <is>
          <t>某个机能追不回任何要件 → 典型的「镀金」或范围蔓延，要么追回要件，要么砍掉。</t>
        </is>
      </c>
    </row>
    <row r="17" ht="30" customHeight="1">
      <c r="B17" s="27" t="inlineStr">
        <is>
          <t>⚠ 画面未紐付（機能）</t>
        </is>
      </c>
      <c r="C17" s="8" t="inlineStr">
        <is>
          <t>某个机能没有画面 → 可能是批处理/后台机能（合理），也可能是画面漏设计。</t>
        </is>
      </c>
    </row>
    <row r="18" ht="30" customHeight="1">
      <c r="B18" s="27" t="inlineStr">
        <is>
          <t>⚠ 未割当（画面）</t>
        </is>
      </c>
      <c r="C18" s="8" t="inlineStr">
        <is>
          <t>某个画面没有任何机能支撑 → 孤儿画面，多半是漏了机能或该画面本不该存在。</t>
        </is>
      </c>
    </row>
    <row r="19" ht="30" customHeight="1">
      <c r="B19" s="27" t="inlineStr">
        <is>
          <t>多重割当</t>
        </is>
      </c>
      <c r="C19" s="8" t="inlineStr">
        <is>
          <t>一个要件对应多个机能、或机能跨多个画面，都是正常的。矩阵的价值恰恰是让多对多关系显式化。</t>
        </is>
      </c>
    </row>
    <row r="21" ht="15" customHeight="1">
      <c r="B21" s="13" t="inlineStr">
        <is>
          <t>使用注意</t>
        </is>
      </c>
    </row>
    <row r="22" ht="30" customHeight="1">
      <c r="B22" s="8" t="inlineStr">
        <is>
          <t>・扩充行数：本模板容量为 要件 60 行 / 機能 60 行 / 画面 80 行。如需扩充，插入行后把上一行的公式向下复制即可，行列表的 ID 引用会自动跟随。</t>
        </is>
      </c>
      <c r="C22" s="12" t="n"/>
    </row>
    <row r="23" ht="30" customHeight="1">
      <c r="B23" s="8" t="inlineStr">
        <is>
          <t>・删除示例数据：2〜4 表与 14/15 行列中的灰色斜体行为示例（受注管理系统），直接整行清除开始使用。</t>
        </is>
      </c>
      <c r="C23" s="12" t="n"/>
    </row>
    <row r="24" ht="30" customHeight="1">
      <c r="B24" s="8" t="inlineStr">
        <is>
          <t>・○ 的输入：交叉格已设置下拉，只能填「○」或留空，避免不同人写 ×／●／1 导致统计失效。</t>
        </is>
      </c>
      <c r="C24" s="12" t="n"/>
    </row>
    <row r="25" ht="30" customHeight="1">
      <c r="B25" s="8" t="inlineStr">
        <is>
          <t>・颜色约定：蓝底=已建立对应；橙底=未割当（需要处置）；绿底=判定 OK。</t>
        </is>
      </c>
      <c r="C25" s="12" t="n"/>
    </row>
    <row r="27">
      <c r="A27" s="28" t="inlineStr">
        <is>
          <t>【2026-09-01 台账整合版・更新说明（出典：requirement-definition-draft/interview-portfolio-id-registry.md・IDR-01 V1.1）】</t>
        </is>
      </c>
    </row>
    <row r="28">
      <c r="A28" s="29" t="inlineStr">
        <is>
          <t>・本ブックは chogeer 語料の実データを投入した作業版。元テンプレートの書式・式パターンを維持し、出典は各表 A2 注記の語料文書。</t>
        </is>
      </c>
    </row>
    <row r="29">
      <c r="A29" s="29" t="inlineStr">
        <is>
          <t>・容量拡張：要件一覧 50→60 行（REQ 38＋NFR 14＝52 行分）。14.要件×機能行列の合計行は 54→64 行へ移設し、3.機能一覧 H 列と 16.サマリーの参照範囲も追従更新済み。</t>
        </is>
      </c>
    </row>
    <row r="30">
      <c r="A30" s="29" t="inlineStr">
        <is>
          <t>・NFR 行の判定：非機能要件の引受主体は設計文書（BD-10）のため、対応機能 0 でも「⚠ 未割当」でなく「設計文書承接」と表示。2.要件一覧 I 列（I42:I55）と 14.行列 BK 列（BK42:BK55）の両方に変体式を適用済み。</t>
        </is>
      </c>
    </row>
    <row r="31">
      <c r="A31" s="29" t="inlineStr">
        <is>
          <t>・16.サマリー D5 は「⚠ 未割当」文字列件数を数える式に変更（NFR を欠落扱いしないため）。残る ⚠ は REQ-032（retention＝機能一覧外の運用機能）・REQ-035/036（不実施＝Won't）の 3 件で、いずれも意図済みの欠落。</t>
        </is>
      </c>
    </row>
    <row r="32">
      <c r="A32" s="29" t="inlineStr">
        <is>
          <t>・15.機能×画面行列で対応画面 0 の機能（F-03・F-15・F-20・F-25・F-30〜33）はバックグラウンド/システム機能または対象外（テンプレート A2 注記の正常系）。F-21 は S-04 の入口ボタンとして計上。D6 の 1 件は F-15（対象外・要件化外）による</t>
        </is>
      </c>
    </row>
    <row r="33">
      <c r="A33" s="29" t="inlineStr">
        <is>
          <t>・一览系シート 5〜13 が ID 台账の全系列を収容：BIZ（5）・RULE（6）・TERM（7）・IF/CD/CF/A（8）・MV（9）・TC（10）・S-xx-yy/MSG（11）・ISS/G/ADR/P0-n/CHK 内部（12）・文書 ID（13）。</t>
        </is>
      </c>
    </row>
    <row r="34">
      <c r="A34" s="29" t="inlineStr">
        <is>
          <t>・COUNTIF 集計キー：2.要件一覧 J 列（対応業務 ID）→5.BIZ一覧・10.TC一覧 E 列（対応MV）→9.MV一覧。集計はワイルドカード一致（※ID は完全形で記載）。</t>
        </is>
      </c>
    </row>
    <row r="35">
      <c r="A35" s="29" t="inlineStr">
        <is>
          <t>・条件付き書式（行ハイライト）は容量拡張行 54〜63 に適用外。NFR 行は ⚠ を出さない（設計文書承接表示）ためハイライト不在は実害なし。</t>
        </is>
      </c>
    </row>
    <row r="36">
      <c r="A36" s="29" t="inlineStr">
        <is>
          <t>・DV プルダウン語彙を語料の実値に拡張（種別にログイン/提示・優先度に Won't/—（対象外）・状態に設計承接）し、接尾辞付き自由文（例「未着手（P0-3 計画）」）をエラーにしないよう showErrorMessage=False に設定。</t>
        </is>
      </c>
    </row>
    <row r="37">
      <c r="A37" s="29" t="inlineStr">
        <is>
          <t>【2026-09-01 構成変更】①一览系 9 シートを 4.画面一覧 の直後に移動し 5〜13 に再採番（タブ色は 4.画面一覧 に一致）②行列 2 枚を 14/15 に再採番しサマリー直前に配置③サマリーは 16.サマリー に改名（1〜16 完整序列）④各一览に实施状态列を追加（语料の進捗と一致）⑤先頭に引用文档一览を追加⑥跨表式の参照名を全部追従更新。⑦2.要件一覧/3.機能一覧/4.画面一覧 にも正規化済み实施状态列（✅/🔵/⚪/⛔ 記号视图）を追加。</t>
        </is>
      </c>
    </row>
    <row r="38">
      <c r="A38" s="29" t="inlineStr">
        <is>
          <t>【2026-09-01 補全・更新说明】①步骤表を STEP 1〜8 に拡張：STEP 1 引用文档一览（IDR-01 対応）・STEP 5 一览系台账 5〜13（集計键提示：2.要件一覧 J 列→5.BIZ一覧・10.TC一覧 E 列→9.MV一覧）②使用注意を修正：容量 要件 60 行・行列番号 14/15</t>
        </is>
      </c>
    </row>
    <row r="39">
      <c r="A39" t="inlineStr">
        <is>
          <t>【2026-09-01 A 組回写追従】G7 成文済み（12.C23/F23）・CHK 内部 ID C-1〜C-8/B-1〜B-3（12.A40/A41）・D 系部分実施（12.F43）・REQ-033 決定済（2.要件一覧 G36/K36）・RULE-11 凍結済（6.ルール一覧 F14）・IDR-01 V1.2（引用文档一览 E4）・TERM-14 二択決定済（7.用語集 D17）・無ID 台帳 9 件（13.A2＋追加行）</t>
        </is>
      </c>
    </row>
    <row r="40">
      <c r="A40" t="inlineStr">
        <is>
          <t>【2026-09-02 B 組回写追従】MV-07 窓表現 7 箇所（overview/business-flow/RD-01 REQ-016/function-list/function-design/mvp-validation :91・:93）・RULE-12 主検証 MV-08（CHK-01 D-5 新設）・REQ-019 凍結済（G22/K22）・02_非機能 引受先更新（BD-10 明記）・CHK-01 V1.6/D 系 D-1〜D-5 全実施（12.A43/F43）</t>
        </is>
      </c>
    </row>
    <row r="41">
      <c r="A41" t="inlineStr">
        <is>
          <t>【2026-09-02 工程列追加】各一览 sheet（2〜12）末列＋14.BL/15.CF に「工程」列追加。値＝PPT-01 §2・CHK-01・RD-01 状態列对齐（13.文書ID台帳は工程非適用のため未追加）。</t>
        </is>
      </c>
    </row>
    <row r="42">
      <c r="A42" t="inlineStr">
        <is>
          <t>【2026-09-02 P0-2 実施完了反映】B-1〜B-3・S-1〜S-5 実施済（12.F41/F42・71c88c8・aec1bf4/f020618/bc7a4ac）・G-1〜G-3 通過（G-3 暫定判定・12.F44）・REQ-030/031 部分実施（2.G33/K33・G34/K34）・CD-06/07/08・TERM 系 実装/設置反映（8・7）・IDR-01 V1.4（引用文档一览 E4）・CHK-01 V1.7/PPT-01 V1.5 追従</t>
        </is>
      </c>
    </row>
    <row r="43">
      <c r="A43" t="inlineStr">
        <is>
          <t>【2026-09-03 回写反映】監査発見の文書遅延分を回写：REQ-018/024/029/030/031 部分実施（P0-3 SF 側 S-1〜S-3 実装〔11a7c78/907fe02/6b9d970〕）・F-20 部分実施・P0-2 工程行 C 列完了統一・G3 決定済反映。連動版数：RD-01 V1.2・BD-02 V2.1・DD-01 V1.1・PPT-01 V1.6・CHK-02 V1.7（D-4 実行・REQ-021 文案修正）</t>
        </is>
      </c>
    </row>
  </sheetData>
  <mergeCells count="6">
    <mergeCell ref="B24:C24"/>
    <mergeCell ref="A1:C1"/>
    <mergeCell ref="B25:C25"/>
    <mergeCell ref="B23:C23"/>
    <mergeCell ref="B22:C2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5C8A"/>
    <outlinePr summaryBelow="1" summaryRight="1"/>
    <pageSetUpPr/>
  </sheetPr>
  <dimension ref="A1:L63"/>
  <sheetViews>
    <sheetView workbookViewId="0">
      <pane xSplit="1" ySplit="3" topLeftCell="B47" activePane="bottomRight" state="frozen"/>
      <selection activeCell="A1" sqref="A1"/>
      <selection pane="topRight" activeCell="A1" sqref="A1"/>
      <selection pane="bottomLeft" activeCell="A1" sqref="A1"/>
      <selection pane="bottomRight" activeCell="A1" sqref="A1:I1"/>
    </sheetView>
  </sheetViews>
  <sheetFormatPr baseColWidth="8" defaultColWidth="9" defaultRowHeight="13.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12" customWidth="1" min="7" max="7"/>
    <col width="11" customWidth="1" min="8" max="8"/>
    <col width="14" customWidth="1" min="9" max="9"/>
    <col width="26" customWidth="1" min="11" max="11"/>
  </cols>
  <sheetData>
    <row r="1" ht="26" customHeight="1">
      <c r="A1" s="1" t="inlineStr">
        <is>
          <t>要件一覧（機能要件一覧）</t>
        </is>
      </c>
    </row>
    <row r="2" ht="22" customHeight="1">
      <c r="A2" s="2" t="inlineStr">
        <is>
          <t>每行为一条要件。A 列的 ID 是后面所有文档的追溯源头，编号一经验证不再回收。灰色斜体行为示例数据，可整行删除。出典：RD-01（REQ 行）・RD-02（NFR 行）</t>
        </is>
      </c>
    </row>
    <row r="3" ht="30" customHeight="1">
      <c r="A3" s="3" t="inlineStr">
        <is>
          <t>要件 ID</t>
        </is>
      </c>
      <c r="B3" s="3" t="inlineStr">
        <is>
          <t>要件名 / 概要</t>
        </is>
      </c>
      <c r="C3" s="3" t="inlineStr">
        <is>
          <t>分类</t>
        </is>
      </c>
      <c r="D3" s="3" t="inlineStr">
        <is>
          <t>来源（部门・访谈・法令）</t>
        </is>
      </c>
      <c r="E3" s="3" t="inlineStr">
        <is>
          <t>优先级</t>
        </is>
      </c>
      <c r="F3" s="3" t="inlineStr">
        <is>
          <t>验收条件（可测量）</t>
        </is>
      </c>
      <c r="G3" s="3" t="inlineStr">
        <is>
          <t>状态</t>
        </is>
      </c>
      <c r="H3" s="3" t="inlineStr">
        <is>
          <t>対応機能数</t>
        </is>
      </c>
      <c r="I3" s="3" t="inlineStr">
        <is>
          <t>判定</t>
        </is>
      </c>
      <c r="J3" s="3" t="inlineStr">
        <is>
          <t>対応業務 ID（出典 RD-01・追記列）</t>
        </is>
      </c>
      <c r="K3" s="3" t="inlineStr">
        <is>
          <t>实施状态</t>
        </is>
      </c>
      <c r="L3" s="3" t="inlineStr">
        <is>
          <t>工程</t>
        </is>
      </c>
    </row>
    <row r="4" ht="49.5" customHeight="1">
      <c r="A4" s="24" t="inlineStr">
        <is>
          <t>REQ-001</t>
        </is>
      </c>
      <c r="B4" s="25" t="inlineStr">
        <is>
          <t>ユーザー登録：電話番号＋6桁認証コード＋氏名／メールで顧客アカウントを登録する</t>
        </is>
      </c>
      <c r="C4" s="24" t="inlineStr">
        <is>
          <t>機能</t>
        </is>
      </c>
      <c r="D4" s="25" t="inlineStr">
        <is>
          <t>事業要件（予約受付のオンライン化）</t>
        </is>
      </c>
      <c r="E4" s="24" t="inlineStr">
        <is>
          <t>Must</t>
        </is>
      </c>
      <c r="F4" s="25" t="inlineStr">
        <is>
          <t>電話番号＋認証コード＋氏名で登録が完了し、重複電話番号では登録が拒否されること（F-02）</t>
        </is>
      </c>
      <c r="G4" s="24" t="inlineStr">
        <is>
          <t>実装済</t>
        </is>
      </c>
      <c r="H4" s="5">
        <f>IF($A4="","",'14.要件×機能行列'!$BJ4)</f>
        <v/>
      </c>
      <c r="I4" s="6">
        <f>IF($A4="","",IF($H4="","",IF($H4=0,"⚠ 未割当","OK")))</f>
        <v/>
      </c>
      <c r="J4" t="inlineStr">
        <is>
          <t>BIZ-01</t>
        </is>
      </c>
      <c r="K4" t="inlineStr">
        <is>
          <t>✅ 実装済</t>
        </is>
      </c>
      <c r="L4" t="inlineStr">
        <is>
          <t>既存（実装済）</t>
        </is>
      </c>
    </row>
    <row r="5" ht="66" customHeight="1">
      <c r="A5" s="24" t="inlineStr">
        <is>
          <t>REQ-002</t>
        </is>
      </c>
      <c r="B5" s="25" t="inlineStr">
        <is>
          <t>認証ログイン：電話番号＋6桁認証コードでログインし、JWT（access/refresh/csrf）を HttpOnly Cookie で発行する</t>
        </is>
      </c>
      <c r="C5" s="24" t="inlineStr">
        <is>
          <t>機能</t>
        </is>
      </c>
      <c r="D5" s="25" t="inlineStr">
        <is>
          <t>事業要件（アカウント認証）</t>
        </is>
      </c>
      <c r="E5" s="24" t="inlineStr">
        <is>
          <t>Must</t>
        </is>
      </c>
      <c r="F5" s="25" t="inlineStr">
        <is>
          <t>正しい認証コードでログイン成功し HttpOnly Cookie が発行される。誤コードでは失敗すること（F-01）</t>
        </is>
      </c>
      <c r="G5" s="24" t="inlineStr">
        <is>
          <t>実装済</t>
        </is>
      </c>
      <c r="H5" s="5">
        <f>IF($A5="","",'14.要件×機能行列'!$BJ5)</f>
        <v/>
      </c>
      <c r="I5" s="6">
        <f>IF($A5="","",IF($H5="","",IF($H5=0,"⚠ 未割当","OK")))</f>
        <v/>
      </c>
      <c r="J5" t="inlineStr">
        <is>
          <t>BIZ-02</t>
        </is>
      </c>
      <c r="K5" t="inlineStr">
        <is>
          <t>✅ 実装済</t>
        </is>
      </c>
      <c r="L5" t="inlineStr">
        <is>
          <t>既存（実装済）</t>
        </is>
      </c>
    </row>
    <row r="6" ht="49.5" customHeight="1">
      <c r="A6" s="24" t="inlineStr">
        <is>
          <t>REQ-003</t>
        </is>
      </c>
      <c r="B6" s="25" t="inlineStr">
        <is>
          <t>トークン更新・ログアウト・検証：401 時の自動更新、ログアウト時トークン無効化（Redis ブラックリスト）</t>
        </is>
      </c>
      <c r="C6" s="24" t="inlineStr">
        <is>
          <t>機能</t>
        </is>
      </c>
      <c r="D6" s="25" t="inlineStr">
        <is>
          <t>事業要件（セッション維持）</t>
        </is>
      </c>
      <c r="E6" s="24" t="inlineStr">
        <is>
          <t>Must</t>
        </is>
      </c>
      <c r="F6" s="25" t="inlineStr">
        <is>
          <t>更新・ログアウト・検証の各操作が成功し、ログアウト後のトークンは無効であること（F-03）</t>
        </is>
      </c>
      <c r="G6" s="24" t="inlineStr">
        <is>
          <t>実装済</t>
        </is>
      </c>
      <c r="H6" s="5">
        <f>IF($A6="","",'14.要件×機能行列'!$BJ6)</f>
        <v/>
      </c>
      <c r="I6" s="6">
        <f>IF($A6="","",IF($H6="","",IF($H6=0,"⚠ 未割当","OK")))</f>
        <v/>
      </c>
      <c r="J6" t="inlineStr">
        <is>
          <t>BIZ-02</t>
        </is>
      </c>
      <c r="K6" t="inlineStr">
        <is>
          <t>✅ 実装済</t>
        </is>
      </c>
      <c r="L6" t="inlineStr">
        <is>
          <t>既存（実装済）</t>
        </is>
      </c>
    </row>
    <row r="7" ht="33" customHeight="1">
      <c r="A7" s="24" t="inlineStr">
        <is>
          <t>REQ-004</t>
        </is>
      </c>
      <c r="B7" s="25" t="inlineStr">
        <is>
          <t>サービスカタログ照会：稼働中サービスの一覧を閲覧する</t>
        </is>
      </c>
      <c r="C7" s="24" t="inlineStr">
        <is>
          <t>機能</t>
        </is>
      </c>
      <c r="D7" s="25" t="inlineStr">
        <is>
          <t>事業要件（予約対象の選択）</t>
        </is>
      </c>
      <c r="E7" s="24" t="inlineStr">
        <is>
          <t>Must</t>
        </is>
      </c>
      <c r="F7" s="25" t="inlineStr">
        <is>
          <t>GET /v1/services で稼働中サービス一覧が返ること（F-04）</t>
        </is>
      </c>
      <c r="G7" s="24" t="inlineStr">
        <is>
          <t>実装済</t>
        </is>
      </c>
      <c r="H7" s="5">
        <f>IF($A7="","",'14.要件×機能行列'!$BJ7)</f>
        <v/>
      </c>
      <c r="I7" s="6">
        <f>IF($A7="","",IF($H7="","",IF($H7=0,"⚠ 未割当","OK")))</f>
        <v/>
      </c>
      <c r="J7" t="inlineStr">
        <is>
          <t>BIZ-03</t>
        </is>
      </c>
      <c r="K7" t="inlineStr">
        <is>
          <t>✅ 実装済</t>
        </is>
      </c>
      <c r="L7" t="inlineStr">
        <is>
          <t>既存（実装済）</t>
        </is>
      </c>
    </row>
    <row r="8" ht="49.5" customHeight="1">
      <c r="A8" s="24" t="inlineStr">
        <is>
          <t>REQ-005</t>
        </is>
      </c>
      <c r="B8" s="25" t="inlineStr">
        <is>
          <t>予約可能時間枠照会：指定日の空き時間枠を照会する（時間枠容量は 1）</t>
        </is>
      </c>
      <c r="C8" s="24" t="inlineStr">
        <is>
          <t>機能</t>
        </is>
      </c>
      <c r="D8" s="25" t="inlineStr">
        <is>
          <t>事業要件（空き状況の提示）</t>
        </is>
      </c>
      <c r="E8" s="24" t="inlineStr">
        <is>
          <t>Must</t>
        </is>
      </c>
      <c r="F8" s="25" t="inlineStr">
        <is>
          <t>指定日の予約済み時間枠が空き一覧に含まれないこと（F-05、RULE-06）</t>
        </is>
      </c>
      <c r="G8" s="24" t="inlineStr">
        <is>
          <t>実装済</t>
        </is>
      </c>
      <c r="H8" s="5">
        <f>IF($A8="","",'14.要件×機能行列'!$BJ8)</f>
        <v/>
      </c>
      <c r="I8" s="6">
        <f>IF($A8="","",IF($H8="","",IF($H8=0,"⚠ 未割当","OK")))</f>
        <v/>
      </c>
      <c r="J8" t="inlineStr">
        <is>
          <t>BIZ-03</t>
        </is>
      </c>
      <c r="K8" t="inlineStr">
        <is>
          <t>✅ 実装済</t>
        </is>
      </c>
      <c r="L8" t="inlineStr">
        <is>
          <t>既存（実装済）</t>
        </is>
      </c>
    </row>
    <row r="9" ht="66" customHeight="1">
      <c r="A9" s="24" t="inlineStr">
        <is>
          <t>REQ-006</t>
        </is>
      </c>
      <c r="B9" s="25" t="inlineStr">
        <is>
          <t>予約作成：サービス・時間枠を指定し予約（status=PENDING）を作成する</t>
        </is>
      </c>
      <c r="C9" s="24" t="inlineStr">
        <is>
          <t>機能</t>
        </is>
      </c>
      <c r="D9" s="25" t="inlineStr">
        <is>
          <t>事業要件（予約受付）</t>
        </is>
      </c>
      <c r="E9" s="24" t="inlineStr">
        <is>
          <t>Must</t>
        </is>
      </c>
      <c r="F9" s="25" t="inlineStr">
        <is>
          <t>作成成功時に Appointment 1 件が生成される。満席・重複・無効時間枠では拒否されること（F-06、RULE-05/06）</t>
        </is>
      </c>
      <c r="G9" s="24" t="inlineStr">
        <is>
          <t>実装済</t>
        </is>
      </c>
      <c r="H9" s="5">
        <f>IF($A9="","",'14.要件×機能行列'!$BJ9)</f>
        <v/>
      </c>
      <c r="I9" s="6">
        <f>IF($A9="","",IF($H9="","",IF($H9=0,"⚠ 未割当","OK")))</f>
        <v/>
      </c>
      <c r="J9" t="inlineStr">
        <is>
          <t>BIZ-03</t>
        </is>
      </c>
      <c r="K9" t="inlineStr">
        <is>
          <t>✅ 実装済</t>
        </is>
      </c>
      <c r="L9" t="inlineStr">
        <is>
          <t>既存（実装済）</t>
        </is>
      </c>
    </row>
    <row r="10" ht="49.5" customHeight="1">
      <c r="A10" s="24" t="inlineStr">
        <is>
          <t>REQ-007</t>
        </is>
      </c>
      <c r="B10" s="25" t="inlineStr">
        <is>
          <t>本人予約照会：自分の予約リスト・詳細を照会する（他人の予約は参照不可）</t>
        </is>
      </c>
      <c r="C10" s="24" t="inlineStr">
        <is>
          <t>機能</t>
        </is>
      </c>
      <c r="D10" s="25" t="inlineStr">
        <is>
          <t>事業要件（予約確認）</t>
        </is>
      </c>
      <c r="E10" s="24" t="inlineStr">
        <is>
          <t>Must</t>
        </is>
      </c>
      <c r="F10" s="25" t="inlineStr">
        <is>
          <t>顧客は自分の予約のみ取得でき、他者の予約 ID 指定では取得できないこと（F-07）</t>
        </is>
      </c>
      <c r="G10" s="24" t="inlineStr">
        <is>
          <t>実装済</t>
        </is>
      </c>
      <c r="H10" s="5">
        <f>IF($A10="","",'14.要件×機能行列'!$BJ10)</f>
        <v/>
      </c>
      <c r="I10" s="6">
        <f>IF($A10="","",IF($H10="","",IF($H10=0,"⚠ 未割当","OK")))</f>
        <v/>
      </c>
      <c r="J10" t="inlineStr">
        <is>
          <t>BIZ-05</t>
        </is>
      </c>
      <c r="K10" t="inlineStr">
        <is>
          <t>✅ 実装済</t>
        </is>
      </c>
      <c r="L10" t="inlineStr">
        <is>
          <t>既存（実装済）</t>
        </is>
      </c>
    </row>
    <row r="11" ht="82.5" customHeight="1">
      <c r="A11" s="24" t="inlineStr">
        <is>
          <t>REQ-008</t>
        </is>
      </c>
      <c r="B11" s="25" t="inlineStr">
        <is>
          <t>予約変更・キャンセル・削除：予約内容の変更、キャンセル（取消確認メール非同期送信）、ハード削除</t>
        </is>
      </c>
      <c r="C11" s="24" t="inlineStr">
        <is>
          <t>機能</t>
        </is>
      </c>
      <c r="D11" s="25" t="inlineStr">
        <is>
          <t>事業要件（予約の変更・取消）</t>
        </is>
      </c>
      <c r="E11" s="24" t="inlineStr">
        <is>
          <t>Must</t>
        </is>
      </c>
      <c r="F11" s="25" t="inlineStr">
        <is>
          <t>PENDING/CONFIRMED からの変更・取消が成功し、CANCELLED/COMPLETED からの取消は拒否されること（F-08、RULE-05/07）</t>
        </is>
      </c>
      <c r="G11" s="24" t="inlineStr">
        <is>
          <t>実装済</t>
        </is>
      </c>
      <c r="H11" s="5">
        <f>IF($A11="","",'14.要件×機能行列'!$BJ11)</f>
        <v/>
      </c>
      <c r="I11" s="6">
        <f>IF($A11="","",IF($H11="","",IF($H11=0,"⚠ 未割当","OK")))</f>
        <v/>
      </c>
      <c r="J11" t="inlineStr">
        <is>
          <t>BIZ-04</t>
        </is>
      </c>
      <c r="K11" t="inlineStr">
        <is>
          <t>✅ 実装済</t>
        </is>
      </c>
      <c r="L11" t="inlineStr">
        <is>
          <t>既存（実装済）</t>
        </is>
      </c>
    </row>
    <row r="12" ht="49.5" customHeight="1">
      <c r="A12" s="5" t="inlineStr">
        <is>
          <t>REQ-009</t>
        </is>
      </c>
      <c r="B12" s="8" t="inlineStr">
        <is>
          <t>通知：サイト内通知一覧・既読・未読数および WebSocket による通知配信</t>
        </is>
      </c>
      <c r="C12" s="5" t="inlineStr">
        <is>
          <t>機能</t>
        </is>
      </c>
      <c r="D12" s="8" t="inlineStr">
        <is>
          <t>事業要件（予約変更の通知）</t>
        </is>
      </c>
      <c r="E12" s="5" t="inlineStr">
        <is>
          <t>Could</t>
        </is>
      </c>
      <c r="F12" s="8" t="inlineStr">
        <is>
          <t>通知一覧取得・既読化が成功し、WebSocket で通知が受信できること（F-09）</t>
        </is>
      </c>
      <c r="G12" s="5" t="inlineStr">
        <is>
          <t>実装済</t>
        </is>
      </c>
      <c r="H12" s="5">
        <f>IF($A12="","",'14.要件×機能行列'!$BJ12)</f>
        <v/>
      </c>
      <c r="I12" s="6">
        <f>IF($A12="","",IF($H12="","",IF($H12=0,"⚠ 未割当","OK")))</f>
        <v/>
      </c>
      <c r="J12" t="inlineStr">
        <is>
          <t>BIZ-06</t>
        </is>
      </c>
      <c r="K12" t="inlineStr">
        <is>
          <t>✅ 実装済</t>
        </is>
      </c>
      <c r="L12" t="inlineStr">
        <is>
          <t>既存（実装済）</t>
        </is>
      </c>
    </row>
    <row r="13" ht="49.5" customHeight="1">
      <c r="A13" s="5" t="inlineStr">
        <is>
          <t>REQ-010</t>
        </is>
      </c>
      <c r="B13" s="8" t="inlineStr">
        <is>
          <t>管理者予約管理：全量リスト・日次別・統計サマリによる予約管理</t>
        </is>
      </c>
      <c r="C13" s="5" t="inlineStr">
        <is>
          <t>機能</t>
        </is>
      </c>
      <c r="D13" s="8" t="inlineStr">
        <is>
          <t>事業要件（予約運用）</t>
        </is>
      </c>
      <c r="E13" s="5" t="inlineStr">
        <is>
          <t>Must</t>
        </is>
      </c>
      <c r="F13" s="8" t="inlineStr">
        <is>
          <t>ADMIN が全量・日次別・統計の各照会を取得できること。顧客ロールでは拒否されること（F-10）</t>
        </is>
      </c>
      <c r="G13" s="5" t="inlineStr">
        <is>
          <t>実装済</t>
        </is>
      </c>
      <c r="H13" s="5">
        <f>IF($A13="","",'14.要件×機能行列'!$BJ13)</f>
        <v/>
      </c>
      <c r="I13" s="6">
        <f>IF($A13="","",IF($H13="","",IF($H13=0,"⚠ 未割当","OK")))</f>
        <v/>
      </c>
      <c r="J13" t="inlineStr">
        <is>
          <t>BIZ-07</t>
        </is>
      </c>
      <c r="K13" t="inlineStr">
        <is>
          <t>✅ 実装済</t>
        </is>
      </c>
      <c r="L13" t="inlineStr">
        <is>
          <t>既存（実装済）</t>
        </is>
      </c>
    </row>
    <row r="14" ht="49.5" customHeight="1">
      <c r="A14" s="5" t="inlineStr">
        <is>
          <t>REQ-011</t>
        </is>
      </c>
      <c r="B14" s="8" t="inlineStr">
        <is>
          <t>サービス管理：サービスの CRUD と稼働・停止</t>
        </is>
      </c>
      <c r="C14" s="5" t="inlineStr">
        <is>
          <t>機能</t>
        </is>
      </c>
      <c r="D14" s="8" t="inlineStr">
        <is>
          <t>事業要件（メニュー管理）</t>
        </is>
      </c>
      <c r="E14" s="5" t="inlineStr">
        <is>
          <t>Must</t>
        </is>
      </c>
      <c r="F14" s="8" t="inlineStr">
        <is>
          <t>ADMIN がサービス登録・変更・停止を行え、停止サービスが顧客一覧から消えること（F-11）</t>
        </is>
      </c>
      <c r="G14" s="5" t="inlineStr">
        <is>
          <t>実装済</t>
        </is>
      </c>
      <c r="H14" s="5">
        <f>IF($A14="","",'14.要件×機能行列'!$BJ14)</f>
        <v/>
      </c>
      <c r="I14" s="6">
        <f>IF($A14="","",IF($H14="","",IF($H14=0,"⚠ 未割当","OK")))</f>
        <v/>
      </c>
      <c r="J14" t="inlineStr">
        <is>
          <t>BIZ-08</t>
        </is>
      </c>
      <c r="K14" t="inlineStr">
        <is>
          <t>✅ 実装済</t>
        </is>
      </c>
      <c r="L14" t="inlineStr">
        <is>
          <t>既存（実装済）</t>
        </is>
      </c>
    </row>
    <row r="15" ht="49.5" customHeight="1">
      <c r="A15" s="5" t="inlineStr">
        <is>
          <t>REQ-012</t>
        </is>
      </c>
      <c r="B15" s="8" t="inlineStr">
        <is>
          <t>時間枠管理：時間枠の CRUD と稼働・停止</t>
        </is>
      </c>
      <c r="C15" s="5" t="inlineStr">
        <is>
          <t>機能</t>
        </is>
      </c>
      <c r="D15" s="8" t="inlineStr">
        <is>
          <t>事業要件（枠管理）</t>
        </is>
      </c>
      <c r="E15" s="5" t="inlineStr">
        <is>
          <t>Must</t>
        </is>
      </c>
      <c r="F15" s="8" t="inlineStr">
        <is>
          <t>ADMIN が時間枠を登録・停止でき、停止枠が空き照会から除外されること（F-13）</t>
        </is>
      </c>
      <c r="G15" s="5" t="inlineStr">
        <is>
          <t>実装済</t>
        </is>
      </c>
      <c r="H15" s="5">
        <f>IF($A15="","",'14.要件×機能行列'!$BJ15)</f>
        <v/>
      </c>
      <c r="I15" s="6">
        <f>IF($A15="","",IF($H15="","",IF($H15=0,"⚠ 未割当","OK")))</f>
        <v/>
      </c>
      <c r="J15" t="inlineStr">
        <is>
          <t>BIZ-08</t>
        </is>
      </c>
      <c r="K15" t="inlineStr">
        <is>
          <t>✅ 実装済</t>
        </is>
      </c>
      <c r="L15" t="inlineStr">
        <is>
          <t>既存（実装済）</t>
        </is>
      </c>
    </row>
    <row r="16" ht="49.5" customHeight="1">
      <c r="A16" s="5" t="inlineStr">
        <is>
          <t>REQ-013</t>
        </is>
      </c>
      <c r="B16" s="8" t="inlineStr">
        <is>
          <t>ユーザー管理：ユーザー作成・照会・状態変更（セッション取消）・ロール変更（旧トークン拒否）・削除</t>
        </is>
      </c>
      <c r="C16" s="5" t="inlineStr">
        <is>
          <t>機能</t>
        </is>
      </c>
      <c r="D16" s="8" t="inlineStr">
        <is>
          <t>事業要件（利用者統制）</t>
        </is>
      </c>
      <c r="E16" s="5" t="inlineStr">
        <is>
          <t>Must</t>
        </is>
      </c>
      <c r="F16" s="8" t="inlineStr">
        <is>
          <t>ADMIN が状態変更（セッション取消を伴う）とロール変更を行えること（F-12、RULE-17）</t>
        </is>
      </c>
      <c r="G16" s="5" t="inlineStr">
        <is>
          <t>実装済</t>
        </is>
      </c>
      <c r="H16" s="5">
        <f>IF($A16="","",'14.要件×機能行列'!$BJ16)</f>
        <v/>
      </c>
      <c r="I16" s="6">
        <f>IF($A16="","",IF($H16="","",IF($H16=0,"⚠ 未割当","OK")))</f>
        <v/>
      </c>
      <c r="J16" t="inlineStr">
        <is>
          <t>BIZ-09</t>
        </is>
      </c>
      <c r="K16" t="inlineStr">
        <is>
          <t>✅ 実装済</t>
        </is>
      </c>
      <c r="L16" t="inlineStr">
        <is>
          <t>既存（実装済）</t>
        </is>
      </c>
    </row>
    <row r="17" ht="66" customHeight="1">
      <c r="A17" s="5" t="inlineStr">
        <is>
          <t>REQ-014</t>
        </is>
      </c>
      <c r="B17" s="8" t="inlineStr">
        <is>
          <t>アクセス制御：フロント三層（middleware／AuthGuard・routePermissions／コンポーネント判定）＋バックエンド JwtAuthGuard・AdminGuard・RolesGuard による最終裁定</t>
        </is>
      </c>
      <c r="C17" s="5" t="inlineStr">
        <is>
          <t>機能</t>
        </is>
      </c>
      <c r="D17" s="8" t="inlineStr">
        <is>
          <t>セキュリティ要件（権限統制）</t>
        </is>
      </c>
      <c r="E17" s="5" t="inlineStr">
        <is>
          <t>Must</t>
        </is>
      </c>
      <c r="F17" s="8" t="inlineStr">
        <is>
          <t>顧客 JWT で管理系 API が 403 となること。フロント判定はセキュリティ境界ではなくサーバ側が最終裁定であること</t>
        </is>
      </c>
      <c r="G17" s="5" t="inlineStr">
        <is>
          <t>実装済</t>
        </is>
      </c>
      <c r="H17" s="5">
        <f>IF($A17="","",'14.要件×機能行列'!$BJ17)</f>
        <v/>
      </c>
      <c r="I17" s="6">
        <f>IF($A17="","",IF($H17="","",IF($H17=0,"⚠ 未割当","OK")))</f>
        <v/>
      </c>
      <c r="J17" t="inlineStr">
        <is>
          <t>BIZ-02, BIZ-07, BIZ-08, BIZ-09</t>
        </is>
      </c>
      <c r="K17" t="inlineStr">
        <is>
          <t>✅ 実装済</t>
        </is>
      </c>
      <c r="L17" t="inlineStr">
        <is>
          <t>既存（実装済）</t>
        </is>
      </c>
    </row>
    <row r="18" ht="82.5" customHeight="1">
      <c r="A18" s="5" t="inlineStr">
        <is>
          <t>REQ-015</t>
        </is>
      </c>
      <c r="B18" s="8" t="inlineStr">
        <is>
          <t>アカウント状態異常時提示：無効化・降格時に提示ページへ誘導する（?reason=ROLE_CHANGED_FROM_ADMIN）</t>
        </is>
      </c>
      <c r="C18" s="5" t="inlineStr">
        <is>
          <t>機能</t>
        </is>
      </c>
      <c r="D18" s="8" t="inlineStr">
        <is>
          <t>事業要件（ユーザーへの説明）</t>
        </is>
      </c>
      <c r="E18" s="5" t="inlineStr">
        <is>
          <t>Should</t>
        </is>
      </c>
      <c r="F18" s="8" t="inlineStr">
        <is>
          <t>無効化・降格されたユーザーの次回アクセスが提示画面 S-05 に到達すること（F-14）</t>
        </is>
      </c>
      <c r="G18" s="5" t="inlineStr">
        <is>
          <t>実装済</t>
        </is>
      </c>
      <c r="H18" s="5">
        <f>IF($A18="","",'14.要件×機能行列'!$BJ18)</f>
        <v/>
      </c>
      <c r="I18" s="6">
        <f>IF($A18="","",IF($H18="","",IF($H18=0,"⚠ 未割当","OK")))</f>
        <v/>
      </c>
      <c r="J18" t="inlineStr">
        <is>
          <t>BIZ-09</t>
        </is>
      </c>
      <c r="K18" t="inlineStr">
        <is>
          <t>✅ 実装済</t>
        </is>
      </c>
      <c r="L18" t="inlineStr">
        <is>
          <t>既存（実装済）</t>
        </is>
      </c>
    </row>
    <row r="19" ht="99" customHeight="1">
      <c r="A19" s="5" t="inlineStr">
        <is>
          <t>REQ-016</t>
        </is>
      </c>
      <c r="B19" s="8" t="inlineStr">
        <is>
          <t>EC サイト外部ユーザー独立ログイン：管理者が Salesforce 外部ユーザー認証情報で Experience Site に独立ログインする（SSO ではない）</t>
        </is>
      </c>
      <c r="C19" s="5" t="inlineStr">
        <is>
          <t>機能</t>
        </is>
      </c>
      <c r="D19" s="8" t="inlineStr">
        <is>
          <t>連携要件（Salesforce SE 作品集・P0-1 完了分）</t>
        </is>
      </c>
      <c r="E19" s="5" t="inlineStr">
        <is>
          <t>Must</t>
        </is>
      </c>
      <c r="F19" s="8" t="inlineStr">
        <is>
          <t>外部ユーザーが /02/login からログインでき、LoginHistory に外部ユーザー種別の記録が残ること。Booking の PW/JWT/Cookie は Salesforce に送信されないこと（F-22、S-10、MV-03、RULE-18）</t>
        </is>
      </c>
      <c r="G19" s="5" t="inlineStr">
        <is>
          <t>検証済（ログイン部分のみ・閲覧範囲限定検証は未実施）</t>
        </is>
      </c>
      <c r="H19" s="5">
        <f>IF($A19="","",'14.要件×機能行列'!$BJ19)</f>
        <v/>
      </c>
      <c r="I19" s="6">
        <f>IF($A19="","",IF($H19="","",IF($H19=0,"⚠ 未割当","OK")))</f>
        <v/>
      </c>
      <c r="J19" t="inlineStr">
        <is>
          <t>BIZ-11</t>
        </is>
      </c>
      <c r="K19" t="inlineStr">
        <is>
          <t>✅ 検証済（P0-1・ログイン部分）</t>
        </is>
      </c>
      <c r="L19" t="inlineStr">
        <is>
          <t>P0-1（完了）/P0-4</t>
        </is>
      </c>
    </row>
    <row r="20" ht="66" customHeight="1">
      <c r="A20" s="5" t="inlineStr">
        <is>
          <t>REQ-017</t>
        </is>
      </c>
      <c r="B20" s="8" t="inlineStr">
        <is>
          <t>Salesforce 管理ワークベンチ入口：Booking 管理コンソールに入口ボタンを表示し、Site ログインページへ遷移する（遷移＝SSO ではない）</t>
        </is>
      </c>
      <c r="C20" s="5" t="inlineStr">
        <is>
          <t>機能</t>
        </is>
      </c>
      <c r="D20" s="8" t="inlineStr">
        <is>
          <t>連携要件（P0-4 計画）</t>
        </is>
      </c>
      <c r="E20" s="5" t="inlineStr">
        <is>
          <t>Must</t>
        </is>
      </c>
      <c r="F20" s="8" t="inlineStr">
        <is>
          <t>role=ADMIN かつ静的マッピング active の場合のみボタンが有効であり、押下で Site URL へ遷移すること（F-21、RULE-16、MV-02）</t>
        </is>
      </c>
      <c r="G20" s="5" t="inlineStr">
        <is>
          <t>未着手（P0-4 計画）</t>
        </is>
      </c>
      <c r="H20" s="5">
        <f>IF($A20="","",'14.要件×機能行列'!$BJ20)</f>
        <v/>
      </c>
      <c r="I20" s="6">
        <f>IF($A20="","",IF($H20="","",IF($H20=0,"⚠ 未割当","OK")))</f>
        <v/>
      </c>
      <c r="J20" t="inlineStr">
        <is>
          <t>BIZ-10</t>
        </is>
      </c>
      <c r="K20" t="inlineStr">
        <is>
          <t>🔵 P0-4 計画</t>
        </is>
      </c>
      <c r="L20" t="inlineStr">
        <is>
          <t>P0-4</t>
        </is>
      </c>
    </row>
    <row r="21" ht="115.5" customHeight="1">
      <c r="A21" s="5" t="inlineStr">
        <is>
          <t>REQ-018</t>
        </is>
      </c>
      <c r="B21" s="8" t="inlineStr">
        <is>
          <t>予約投影：予約正本の変更（作成・変更・キャンセル—顧客自身の取消を含む）を Booking__c へ冪等投影する</t>
        </is>
      </c>
      <c r="C21" s="5" t="inlineStr">
        <is>
          <t>機能</t>
        </is>
      </c>
      <c r="D21" s="8" t="inlineStr">
        <is>
          <t>連携要件（P0-3 計画）</t>
        </is>
      </c>
      <c r="E21" s="5" t="inlineStr">
        <is>
          <t>Must</t>
        </is>
      </c>
      <c r="F21" s="8" t="inlineStr">
        <is>
          <t>正本変更後に Booking__c が External ID で 1 件作成／更新され、Status__c・CurrentVersion__c が正本と一致する。同一イベント再送ではレコードが増えず、旧バージョンは拒否されること（F-20、RULE-01/04/08、MV-04/05/06）</t>
        </is>
      </c>
      <c r="G21" s="5" t="inlineStr">
        <is>
          <t>部分実施（SF 側受入口 BookingProjectionRest 済〔6b9d970〕・Booking 側呼出残）</t>
        </is>
      </c>
      <c r="H21" s="5">
        <f>IF($A21="","",'14.要件×機能行列'!$BJ21)</f>
        <v/>
      </c>
      <c r="I21" s="6">
        <f>IF($A21="","",IF($H21="","",IF($H21=0,"⚠ 未割当","OK")))</f>
        <v/>
      </c>
      <c r="J21" t="inlineStr">
        <is>
          <t>BIZ-12</t>
        </is>
      </c>
      <c r="K21" t="inlineStr">
        <is>
          <t>🔵 部分実施（SF 側受入口済〔6b9d970〕・Booking 側残）</t>
        </is>
      </c>
      <c r="L21" t="inlineStr">
        <is>
          <t>P0-3</t>
        </is>
      </c>
    </row>
    <row r="22" ht="66" customHeight="1">
      <c r="A22" s="5" t="inlineStr">
        <is>
          <t>REQ-019</t>
        </is>
      </c>
      <c r="B22" s="8" t="inlineStr">
        <is>
          <t>投影対象の PII 除外：顧客氏名・電話・メール・WeChat・備考は投影ホワイトリスト外とする</t>
        </is>
      </c>
      <c r="C22" s="5" t="inlineStr">
        <is>
          <t>データ</t>
        </is>
      </c>
      <c r="D22" s="8" t="inlineStr">
        <is>
          <t>セキュリティ要件（PII 除外原則）</t>
        </is>
      </c>
      <c r="E22" s="5" t="inlineStr">
        <is>
          <t>Must</t>
        </is>
      </c>
      <c r="F22" s="8" t="inlineStr">
        <is>
          <t>Booking__c の全項目に氏名・電話・メール・WeChat・備考が現れず、投影ペイロードにも含まれないこと（ホワイトリスト凍結・MV-04 併せて確認）</t>
        </is>
      </c>
      <c r="G22" s="5" t="inlineStr">
        <is>
          <t>凍結済（2026-09-01・CHK-01 C-2）</t>
        </is>
      </c>
      <c r="H22" s="5">
        <f>IF($A22="","",'14.要件×機能行列'!$BJ22)</f>
        <v/>
      </c>
      <c r="I22" s="6">
        <f>IF($A22="","",IF($H22="","",IF($H22=0,"⚠ 未割当","OK")))</f>
        <v/>
      </c>
      <c r="J22" t="inlineStr">
        <is>
          <t>BIZ-12</t>
        </is>
      </c>
      <c r="K22" t="inlineStr">
        <is>
          <t>✅ 凍結済（2026-09-01・CHK-01 C-2）</t>
        </is>
      </c>
      <c r="L22" t="inlineStr">
        <is>
          <t>P0-2</t>
        </is>
      </c>
    </row>
    <row r="23" ht="66" customHeight="1">
      <c r="A23" s="5" t="inlineStr">
        <is>
          <t>REQ-020</t>
        </is>
      </c>
      <c r="B23" s="8" t="inlineStr">
        <is>
          <t>投影リスト表示：Site 内 LWC で自 Account の予約投影を閲覧する（行級限定・読取専用）</t>
        </is>
      </c>
      <c r="C23" s="5" t="inlineStr">
        <is>
          <t>機能</t>
        </is>
      </c>
      <c r="D23" s="8" t="inlineStr">
        <is>
          <t>連携要件（P0-4 計画）</t>
        </is>
      </c>
      <c r="E23" s="5" t="inlineStr">
        <is>
          <t>Must</t>
        </is>
      </c>
      <c r="F23" s="8" t="inlineStr">
        <is>
          <t>外部ユーザーは自 Account に紐づく投影のみ閲覧でき、他 Account の投影は取得できないこと（F-23、S-11、MV-07、RULE-13）</t>
        </is>
      </c>
      <c r="G23" s="5" t="inlineStr">
        <is>
          <t>未着手（P0-4 計画）</t>
        </is>
      </c>
      <c r="H23" s="5">
        <f>IF($A23="","",'14.要件×機能行列'!$BJ23)</f>
        <v/>
      </c>
      <c r="I23" s="6">
        <f>IF($A23="","",IF($H23="","",IF($H23=0,"⚠ 未割当","OK")))</f>
        <v/>
      </c>
      <c r="J23" t="inlineStr">
        <is>
          <t>BIZ-13</t>
        </is>
      </c>
      <c r="K23" t="inlineStr">
        <is>
          <t>🔵 P0-4 計画</t>
        </is>
      </c>
      <c r="L23" t="inlineStr">
        <is>
          <t>P0-4</t>
        </is>
      </c>
    </row>
    <row r="24" ht="66" customHeight="1">
      <c r="A24" s="5" t="inlineStr">
        <is>
          <t>REQ-021</t>
        </is>
      </c>
      <c r="B24" s="8" t="inlineStr">
        <is>
          <t>キャンセルコマンド受理：Site から CANCEL_BOOKING を送信し、Booking_Command__c を生成して commandId／QUEUED を即時返却する</t>
        </is>
      </c>
      <c r="C24" s="5" t="inlineStr">
        <is>
          <t>機能</t>
        </is>
      </c>
      <c r="D24" s="8" t="inlineStr">
        <is>
          <t>連携要件（P0-3/P0-4 計画）</t>
        </is>
      </c>
      <c r="E24" s="5" t="inlineStr">
        <is>
          <t>Must</t>
        </is>
      </c>
      <c r="F24" s="8" t="inlineStr">
        <is>
          <t>送信直後に commandId と QUEUED が返ること。コマンドレコードに commandId・expectedVersion・要求者識別が保存されること（F-24）</t>
        </is>
      </c>
      <c r="G24" s="5" t="inlineStr">
        <is>
          <t>未着手（P0-3/P0-4 計画）</t>
        </is>
      </c>
      <c r="H24" s="5">
        <f>IF($A24="","",'14.要件×機能行列'!$BJ24)</f>
        <v/>
      </c>
      <c r="I24" s="6">
        <f>IF($A24="","",IF($H24="","",IF($H24=0,"⚠ 未割当","OK")))</f>
        <v/>
      </c>
      <c r="J24" t="inlineStr">
        <is>
          <t>BIZ-14</t>
        </is>
      </c>
      <c r="K24" t="inlineStr">
        <is>
          <t>🔵 P0-3/P0-4 計画</t>
        </is>
      </c>
      <c r="L24" t="inlineStr">
        <is>
          <t>P0-3/P0-4</t>
        </is>
      </c>
    </row>
    <row r="25" ht="66" customHeight="1">
      <c r="A25" s="5" t="inlineStr">
        <is>
          <t>REQ-022</t>
        </is>
      </c>
      <c r="B25" s="8" t="inlineStr">
        <is>
          <t>コマンドバックグラウンド実行：Queueable が Named Credential で Booking 統合端点を呼び出し、Booking が同一トランザクションで正本を CANCELLED に更新する</t>
        </is>
      </c>
      <c r="C25" s="5" t="inlineStr">
        <is>
          <t>機能</t>
        </is>
      </c>
      <c r="D25" s="8" t="inlineStr">
        <is>
          <t>連携要件（P0-3 計画）</t>
        </is>
      </c>
      <c r="E25" s="5" t="inlineStr">
        <is>
          <t>Must</t>
        </is>
      </c>
      <c r="F25" s="8" t="inlineStr">
        <is>
          <t>合法コマンドで正本が CANCELLED・version+1 となり、200＋canonicalVersion＋resultCode が返ること（F-25、RULE-12/14、MV-08）</t>
        </is>
      </c>
      <c r="G25" s="5" t="inlineStr">
        <is>
          <t>未着手（P0-3 計画）</t>
        </is>
      </c>
      <c r="H25" s="5">
        <f>IF($A25="","",'14.要件×機能行列'!$BJ25)</f>
        <v/>
      </c>
      <c r="I25" s="6">
        <f>IF($A25="","",IF($H25="","",IF($H25=0,"⚠ 未割当","OK")))</f>
        <v/>
      </c>
      <c r="J25" t="inlineStr">
        <is>
          <t>BIZ-14</t>
        </is>
      </c>
      <c r="K25" t="inlineStr">
        <is>
          <t>🔵 P0-3 計画</t>
        </is>
      </c>
      <c r="L25" t="inlineStr">
        <is>
          <t>P0-3</t>
        </is>
      </c>
    </row>
    <row r="26" ht="49.5" customHeight="1">
      <c r="A26" s="5" t="inlineStr">
        <is>
          <t>REQ-023</t>
        </is>
      </c>
      <c r="B26" s="8" t="inlineStr">
        <is>
          <t>コマンド冪等性：同一 commandId の再到達では初回保存結果を返し、副作用を繰り返さない</t>
        </is>
      </c>
      <c r="C26" s="5" t="inlineStr">
        <is>
          <t>機能</t>
        </is>
      </c>
      <c r="D26" s="8" t="inlineStr">
        <is>
          <t>連携要件（P0-3 計画）</t>
        </is>
      </c>
      <c r="E26" s="5" t="inlineStr">
        <is>
          <t>Must</t>
        </is>
      </c>
      <c r="F26" s="8" t="inlineStr">
        <is>
          <t>同一 commandId 再送で取消が再実行されず、初回と同一の応答が返ること（F-25、RULE-03、MV-08 重複口径）</t>
        </is>
      </c>
      <c r="G26" s="5" t="inlineStr">
        <is>
          <t>未着手（P0-3 計画）</t>
        </is>
      </c>
      <c r="H26" s="5">
        <f>IF($A26="","",'14.要件×機能行列'!$BJ26)</f>
        <v/>
      </c>
      <c r="I26" s="6">
        <f>IF($A26="","",IF($H26="","",IF($H26=0,"⚠ 未割当","OK")))</f>
        <v/>
      </c>
      <c r="J26" t="inlineStr">
        <is>
          <t>BIZ-14</t>
        </is>
      </c>
      <c r="K26" t="inlineStr">
        <is>
          <t>🔵 P0-3 計画</t>
        </is>
      </c>
      <c r="L26" t="inlineStr">
        <is>
          <t>P0-3</t>
        </is>
      </c>
    </row>
    <row r="27" ht="82.5" customHeight="1">
      <c r="A27" s="5" t="inlineStr">
        <is>
          <t>REQ-024</t>
        </is>
      </c>
      <c r="B27" s="8" t="inlineStr">
        <is>
          <t>バージョンゲート：投影は incomingVersion &lt;= CurrentVersion__c を拒否、コマンドは旧 expectedVersion を 409 とする</t>
        </is>
      </c>
      <c r="C27" s="5" t="inlineStr">
        <is>
          <t>機能</t>
        </is>
      </c>
      <c r="D27" s="8" t="inlineStr">
        <is>
          <t>連携要件（P0-3 計画）</t>
        </is>
      </c>
      <c r="E27" s="5" t="inlineStr">
        <is>
          <t>Must</t>
        </is>
      </c>
      <c r="F27" s="8" t="inlineStr">
        <is>
          <t>旧バージョンの投影送信で拒否応答が返り、Booking__c が更新されないこと。旧 expectedVersion のコマンドで 409＋currentVersion が返ること（F-20/F-25/F-26、RULE-01/02、MV-05/09）</t>
        </is>
      </c>
      <c r="G27" s="5" t="inlineStr">
        <is>
          <t>部分実施（schema migration 済〔71c88c8〕＋SF runtime 版本ゲート済〔VR・6b9d970〕・Booking runtime 残）</t>
        </is>
      </c>
      <c r="H27" s="5">
        <f>IF($A27="","",'14.要件×機能行列'!$BJ27)</f>
        <v/>
      </c>
      <c r="I27" s="6">
        <f>IF($A27="","",IF($H27="","",IF($H27=0,"⚠ 未割当","OK")))</f>
        <v/>
      </c>
      <c r="J27" t="inlineStr">
        <is>
          <t>BIZ-12, BIZ-14</t>
        </is>
      </c>
      <c r="K27" t="inlineStr">
        <is>
          <t>🔵 部分実施（schema＋SF runtime 済・Booking 残）</t>
        </is>
      </c>
      <c r="L27" t="inlineStr">
        <is>
          <t>P0-3</t>
        </is>
      </c>
    </row>
    <row r="28" ht="49.5" customHeight="1">
      <c r="A28" s="5" t="inlineStr">
        <is>
          <t>REQ-025</t>
        </is>
      </c>
      <c r="B28" s="8" t="inlineStr">
        <is>
          <t>結果書き戻し：コマンド成功後、バージョンゲート付きで canonical result を Booking__c に書き戻す</t>
        </is>
      </c>
      <c r="C28" s="5" t="inlineStr">
        <is>
          <t>機能</t>
        </is>
      </c>
      <c r="D28" s="8" t="inlineStr">
        <is>
          <t>連携要件（P0-3 計画）</t>
        </is>
      </c>
      <c r="E28" s="5" t="inlineStr">
        <is>
          <t>Must</t>
        </is>
      </c>
      <c r="F28" s="8" t="inlineStr">
        <is>
          <t>書き戻しは incomingVersion が現行より高い場合のみ Booking__c を更新すること（F-26、MV-08）</t>
        </is>
      </c>
      <c r="G28" s="5" t="inlineStr">
        <is>
          <t>未着手（P0-3 計画）</t>
        </is>
      </c>
      <c r="H28" s="5">
        <f>IF($A28="","",'14.要件×機能行列'!$BJ28)</f>
        <v/>
      </c>
      <c r="I28" s="6">
        <f>IF($A28="","",IF($H28="","",IF($H28=0,"⚠ 未割当","OK")))</f>
        <v/>
      </c>
      <c r="J28" t="inlineStr">
        <is>
          <t>BIZ-12, BIZ-14</t>
        </is>
      </c>
      <c r="K28" t="inlineStr">
        <is>
          <t>🔵 P0-3 計画</t>
        </is>
      </c>
      <c r="L28" t="inlineStr">
        <is>
          <t>P0-3</t>
        </is>
      </c>
    </row>
    <row r="29" ht="66" customHeight="1">
      <c r="A29" s="5" t="inlineStr">
        <is>
          <t>REQ-026</t>
        </is>
      </c>
      <c r="B29" s="8" t="inlineStr">
        <is>
          <t>静的操作者マッピング：salesforceUserId ↔ bookingUserId の事前登録レコード（active）で操作者をサーバ側確定する（ブラウザ申告 ID 不採用）</t>
        </is>
      </c>
      <c r="C29" s="5" t="inlineStr">
        <is>
          <t>制約</t>
        </is>
      </c>
      <c r="D29" s="8" t="inlineStr">
        <is>
          <t>セキュリティ要件（操作者特定）</t>
        </is>
      </c>
      <c r="E29" s="5" t="inlineStr">
        <is>
          <t>Must</t>
        </is>
      </c>
      <c r="F29" s="8" t="inlineStr">
        <is>
          <t>マッピング active＋現在の Booking ADMIN/ACTIVE 判定を満たす呼出のみ処理され、満たさない呼出は拒否されること（F-21/F-25、RULE-12）</t>
        </is>
      </c>
      <c r="G29" s="5" t="inlineStr">
        <is>
          <t>未着手（P0-3 計画）</t>
        </is>
      </c>
      <c r="H29" s="5">
        <f>IF($A29="","",'14.要件×機能行列'!$BJ29)</f>
        <v/>
      </c>
      <c r="I29" s="6">
        <f>IF($A29="","",IF($H29="","",IF($H29=0,"⚠ 未割当","OK")))</f>
        <v/>
      </c>
      <c r="J29" t="inlineStr">
        <is>
          <t>BIZ-10, BIZ-14</t>
        </is>
      </c>
      <c r="K29" t="inlineStr">
        <is>
          <t>🔵 P0-3 計画</t>
        </is>
      </c>
      <c r="L29" t="inlineStr">
        <is>
          <t>P0-3</t>
        </is>
      </c>
    </row>
    <row r="30" ht="82.5" customHeight="1">
      <c r="A30" s="5" t="inlineStr">
        <is>
          <t>REQ-027</t>
        </is>
      </c>
      <c r="B30" s="8" t="inlineStr">
        <is>
          <t>409/503 エラー区分：409＝業務競合（リトライしない）、429/503/timeout＝一時的障害（限定回数リトライ）</t>
        </is>
      </c>
      <c r="C30" s="5" t="inlineStr">
        <is>
          <t>機能</t>
        </is>
      </c>
      <c r="D30" s="8" t="inlineStr">
        <is>
          <t>連携要件（P0-3 計画）</t>
        </is>
      </c>
      <c r="E30" s="5" t="inlineStr">
        <is>
          <t>Must</t>
        </is>
      </c>
      <c r="F30" s="8" t="inlineStr">
        <is>
          <t>409 受信時はリトライせず CONFLICT となること。429/503/timeout 受信時は attemptCount が増え、上限内で自動リトライされること（F-25、RULE-09、MV-09/10）</t>
        </is>
      </c>
      <c r="G30" s="5" t="inlineStr">
        <is>
          <t>未着手（P0-3 計画）</t>
        </is>
      </c>
      <c r="H30" s="5">
        <f>IF($A30="","",'14.要件×機能行列'!$BJ30)</f>
        <v/>
      </c>
      <c r="I30" s="6">
        <f>IF($A30="","",IF($H30="","",IF($H30=0,"⚠ 未割当","OK")))</f>
        <v/>
      </c>
      <c r="J30" t="inlineStr">
        <is>
          <t>BIZ-14, BIZ-15</t>
        </is>
      </c>
      <c r="K30" t="inlineStr">
        <is>
          <t>🔵 P0-3 計画</t>
        </is>
      </c>
      <c r="L30" t="inlineStr">
        <is>
          <t>P0-3</t>
        </is>
      </c>
    </row>
    <row r="31" ht="49.5" customHeight="1">
      <c r="A31" s="5" t="inlineStr">
        <is>
          <t>REQ-028</t>
        </is>
      </c>
      <c r="B31" s="8" t="inlineStr">
        <is>
          <t>手動 Retry：FAILED／ERROR のコマンド・投影について、同一 commandId／eventId で再実行できる</t>
        </is>
      </c>
      <c r="C31" s="5" t="inlineStr">
        <is>
          <t>機能</t>
        </is>
      </c>
      <c r="D31" s="8" t="inlineStr">
        <is>
          <t>運用要件（障害復旧）</t>
        </is>
      </c>
      <c r="E31" s="5" t="inlineStr">
        <is>
          <t>Should</t>
        </is>
      </c>
      <c r="F31" s="8" t="inlineStr">
        <is>
          <t>保留済みコマンドを原 commandId のまま再実行でき、重複副作用が発生しないこと（F-25、RULE-10）</t>
        </is>
      </c>
      <c r="G31" s="5" t="inlineStr">
        <is>
          <t>未着手（P0-3 計画）</t>
        </is>
      </c>
      <c r="H31" s="5">
        <f>IF($A31="","",'14.要件×機能行列'!$BJ31)</f>
        <v/>
      </c>
      <c r="I31" s="6">
        <f>IF($A31="","",IF($H31="","",IF($H31=0,"⚠ 未割当","OK")))</f>
        <v/>
      </c>
      <c r="J31" t="inlineStr">
        <is>
          <t>BIZ-15</t>
        </is>
      </c>
      <c r="K31" t="inlineStr">
        <is>
          <t>🔵 P0-3 計画</t>
        </is>
      </c>
      <c r="L31" t="inlineStr">
        <is>
          <t>P0-3</t>
        </is>
      </c>
    </row>
    <row r="32" ht="82.5" customHeight="1">
      <c r="A32" s="5" t="inlineStr">
        <is>
          <t>REQ-029</t>
        </is>
      </c>
      <c r="B32" s="8" t="inlineStr">
        <is>
          <t>サービス間認証：Booking→SF は OAuth 2.0 JWT Bearer（ECA・2026-09-02 Connected App より移行）、SF→Booking は Named Credential＋Integration Guard（secret の鍵バージョン・audience・scope・時刻偏差）</t>
        </is>
      </c>
      <c r="C32" s="5" t="inlineStr">
        <is>
          <t>制約</t>
        </is>
      </c>
      <c r="D32" s="8" t="inlineStr">
        <is>
          <t>セキュリティ要件（システム間認証）</t>
        </is>
      </c>
      <c r="E32" s="5" t="inlineStr">
        <is>
          <t>Must</t>
        </is>
      </c>
      <c r="F32" s="8" t="inlineStr">
        <is>
          <t>誤 audience／scope／旧 key の呼出が 401/403 で拒否され、予約・コマンド・投影状態が一切変化しないこと（A2/A3 境界、MV-11）</t>
        </is>
      </c>
      <c r="G32" s="5" t="inlineStr">
        <is>
          <t>部分実施（SF 側 A2/A3 設備済〔ECA/NC/EC・2026-09-02〕・MV-11 検証未実施）</t>
        </is>
      </c>
      <c r="H32" s="5">
        <f>IF($A32="","",'14.要件×機能行列'!$BJ32)</f>
        <v/>
      </c>
      <c r="I32" s="6">
        <f>IF($A32="","",IF($H32="","",IF($H32=0,"⚠ 未割当","OK")))</f>
        <v/>
      </c>
      <c r="J32" t="inlineStr">
        <is>
          <t>BIZ-12, BIZ-14</t>
        </is>
      </c>
      <c r="K32" t="inlineStr">
        <is>
          <t>🔵 部分実施（SF 側設備済・検証残）</t>
        </is>
      </c>
      <c r="L32" t="inlineStr">
        <is>
          <t>P0-3</t>
        </is>
      </c>
    </row>
    <row r="33" ht="66" customHeight="1">
      <c r="A33" s="5" t="inlineStr">
        <is>
          <t>REQ-030</t>
        </is>
      </c>
      <c r="B33" s="8" t="inlineStr">
        <is>
          <t>Site 行級アクセス制御：Booking__c／Booking_Command__c は External OWD=Private＋Sharing Set（Account 隔離）＋CRUD/FLS 最小権限</t>
        </is>
      </c>
      <c r="C33" s="5" t="inlineStr">
        <is>
          <t>制約</t>
        </is>
      </c>
      <c r="D33" s="8" t="inlineStr">
        <is>
          <t>セキュリティ要件（最小権限）</t>
        </is>
      </c>
      <c r="E33" s="5" t="inlineStr">
        <is>
          <t>Must</t>
        </is>
      </c>
      <c r="F33" s="8" t="inlineStr">
        <is>
          <t>外部ユーザーが他 Account の投影・コマンドを照会・更新できないこと（with sharing・Sharing Set、MV-07）</t>
        </is>
      </c>
      <c r="G33" s="5" t="inlineStr">
        <is>
          <t>部分実施（P0-2：OWD/SharingSet/FLS 済・P0-4 検証残）</t>
        </is>
      </c>
      <c r="H33" s="5">
        <f>IF($A33="","",'14.要件×機能行列'!$BJ33)</f>
        <v/>
      </c>
      <c r="I33" s="6">
        <f>IF($A33="","",IF($H33="","",IF($H33=0,"⚠ 未割当","OK")))</f>
        <v/>
      </c>
      <c r="J33" t="inlineStr">
        <is>
          <t>BIZ-13, BIZ-14</t>
        </is>
      </c>
      <c r="K33" t="inlineStr">
        <is>
          <t>🔵 部分実施（P0-2 設定済・P0-4 残）</t>
        </is>
      </c>
      <c r="L33" t="inlineStr">
        <is>
          <t>P0-2/P0-4</t>
        </is>
      </c>
    </row>
    <row r="34" ht="82.5" customHeight="1">
      <c r="A34" s="5" t="inlineStr">
        <is>
          <t>REQ-031</t>
        </is>
      </c>
      <c r="B34" s="8" t="inlineStr">
        <is>
          <t>連携監査トレース：CorrelationId・LastError を Booking__c と Booking_Command__c の双方に、AttemptCount・HttpStatus・NextAttemptAt を Booking_Command__c に記録する</t>
        </is>
      </c>
      <c r="C34" s="5" t="inlineStr">
        <is>
          <t>データ</t>
        </is>
      </c>
      <c r="D34" s="8" t="inlineStr">
        <is>
          <t>運用要件（問題追跡）</t>
        </is>
      </c>
      <c r="E34" s="5" t="inlineStr">
        <is>
          <t>Must</t>
        </is>
      </c>
      <c r="F34" s="8" t="inlineStr">
        <is>
          <t>各コマンドに CorrelationId が付与され、失敗時に LastError・HttpStatus が確認できること（F-25、erd.md のフィールド配置に準拠）</t>
        </is>
      </c>
      <c r="G34" s="5" t="inlineStr">
        <is>
          <t>部分実施（P0-2：監査フィールド設置済・P0-3 記録実装残）</t>
        </is>
      </c>
      <c r="H34" s="5">
        <f>IF($A34="","",'14.要件×機能行列'!$BJ34)</f>
        <v/>
      </c>
      <c r="I34" s="6">
        <f>IF($A34="","",IF($H34="","",IF($H34=0,"⚠ 未割当","OK")))</f>
        <v/>
      </c>
      <c r="J34" t="inlineStr">
        <is>
          <t>BIZ-12, BIZ-14, BIZ-15</t>
        </is>
      </c>
      <c r="K34" t="inlineStr">
        <is>
          <t>🔵 部分実施（P0-2 設定済・P0-3 残）</t>
        </is>
      </c>
      <c r="L34" t="inlineStr">
        <is>
          <t>P0-2/P0-3</t>
        </is>
      </c>
    </row>
    <row r="35" ht="49.5" customHeight="1">
      <c r="A35" s="5" t="inlineStr">
        <is>
          <t>REQ-032</t>
        </is>
      </c>
      <c r="B35" s="8" t="inlineStr">
        <is>
          <t>データ保持：CANCELLED/COMPLETED の予約データを 30 日経過後にハードデリートする</t>
        </is>
      </c>
      <c r="C35" s="5" t="inlineStr">
        <is>
          <t>運用</t>
        </is>
      </c>
      <c r="D35" s="8" t="inlineStr">
        <is>
          <t>運用要件（データ保持ポリシー）</t>
        </is>
      </c>
      <c r="E35" s="5" t="inlineStr">
        <is>
          <t>Must</t>
        </is>
      </c>
      <c r="F35" s="8" t="inlineStr">
        <is>
          <t>保持期限経過データが削除され、期限内データが残存すること（retention モジュール）</t>
        </is>
      </c>
      <c r="G35" s="5" t="inlineStr">
        <is>
          <t>実装済</t>
        </is>
      </c>
      <c r="H35" s="5">
        <f>IF($A35="","",'14.要件×機能行列'!$BJ35)</f>
        <v/>
      </c>
      <c r="I35" s="6">
        <f>IF($A35="","",IF($H35="","",IF($H35=0,"⚠ 未割当","OK")))</f>
        <v/>
      </c>
      <c r="J35" t="inlineStr">
        <is>
          <t>BIZ-16</t>
        </is>
      </c>
      <c r="K35" t="inlineStr">
        <is>
          <t>✅ 実装済</t>
        </is>
      </c>
      <c r="L35" t="inlineStr">
        <is>
          <t>既存（実装済）</t>
        </is>
      </c>
    </row>
    <row r="36" ht="66" customHeight="1">
      <c r="A36" s="5" t="inlineStr">
        <is>
          <t>REQ-033</t>
        </is>
      </c>
      <c r="B36" s="8" t="inlineStr">
        <is>
          <t>投影レコード保持方針：投影（Booking__c）は正本クリーンアップの対象外とし、削除済み予約への遅延コマンドは 404/409 でフォールバック</t>
        </is>
      </c>
      <c r="C36" s="5" t="inlineStr">
        <is>
          <t>データ</t>
        </is>
      </c>
      <c r="D36" s="8" t="inlineStr">
        <is>
          <t>運用要件（保持と投影の整合）</t>
        </is>
      </c>
      <c r="E36" s="5" t="inlineStr">
        <is>
          <t>Must</t>
        </is>
      </c>
      <c r="F36" s="8" t="inlineStr">
        <is>
          <t>正本クリーンアップ後に Booking__c が消えないこと。削除済み予約へのコマンドが 404/409 で判定可能に終わること（G7 決定事項）</t>
        </is>
      </c>
      <c r="G36" s="5" t="inlineStr">
        <is>
          <t>決定済（2026-09-01・決定記録成文）</t>
        </is>
      </c>
      <c r="H36" s="5">
        <f>IF($A36="","",'14.要件×機能行列'!$BJ36)</f>
        <v/>
      </c>
      <c r="I36" s="6">
        <f>IF($A36="","",IF($H36="","",IF($H36=0,"⚠ 未割当","OK")))</f>
        <v/>
      </c>
      <c r="J36" t="inlineStr">
        <is>
          <t>BIZ-12, BIZ-16</t>
        </is>
      </c>
      <c r="K36" t="inlineStr">
        <is>
          <t>✅ 決定済（2026-09-01・決定記録成文）</t>
        </is>
      </c>
      <c r="L36" t="inlineStr">
        <is>
          <t>P0-2</t>
        </is>
      </c>
    </row>
    <row r="37" ht="49.5" customHeight="1">
      <c r="A37" s="5" t="inlineStr">
        <is>
          <t>REQ-034</t>
        </is>
      </c>
      <c r="B37" s="8" t="inlineStr">
        <is>
          <t>SSO／JIT／自己登録／自動ライセンスプールの不実施</t>
        </is>
      </c>
      <c r="C37" s="5" t="inlineStr">
        <is>
          <t>制約</t>
        </is>
      </c>
      <c r="D37" s="8" t="inlineStr">
        <is>
          <t>範囲決定（明確にしない事項）</t>
        </is>
      </c>
      <c r="E37" s="5" t="inlineStr">
        <is>
          <t>Won't</t>
        </is>
      </c>
      <c r="F37" s="8" t="inlineStr">
        <is>
          <t>該当機能が本 MVP に存在しないこと。サイト SelfReg=false であること（F-30）</t>
        </is>
      </c>
      <c r="G37" s="5" t="inlineStr">
        <is>
          <t>却下（対象外・今回実施せず）</t>
        </is>
      </c>
      <c r="H37" s="5">
        <f>IF($A37="","",'14.要件×機能行列'!$BJ37)</f>
        <v/>
      </c>
      <c r="I37" s="6">
        <f>IF($A37="","",IF($H37="","",IF($H37=0,"⚠ 未割当","OK")))</f>
        <v/>
      </c>
      <c r="J37" t="inlineStr">
        <is>
          <t>BIZ-11</t>
        </is>
      </c>
      <c r="K37" t="inlineStr">
        <is>
          <t>⛔ 不実施（Won't）</t>
        </is>
      </c>
      <c r="L37" t="inlineStr">
        <is>
          <t>対象外（Won't）</t>
        </is>
      </c>
    </row>
    <row r="38" ht="49.5" customHeight="1">
      <c r="A38" s="5" t="inlineStr">
        <is>
          <t>REQ-035</t>
        </is>
      </c>
      <c r="B38" s="8" t="inlineStr">
        <is>
          <t>Salesforce 内部ユーザー／System Administrator による連携の不実施</t>
        </is>
      </c>
      <c r="C38" s="5" t="inlineStr">
        <is>
          <t>制約</t>
        </is>
      </c>
      <c r="D38" s="8" t="inlineStr">
        <is>
          <t>範囲決定（明確にしない事項）</t>
        </is>
      </c>
      <c r="E38" s="5" t="inlineStr">
        <is>
          <t>Won't</t>
        </is>
      </c>
      <c r="F38" s="8" t="inlineStr">
        <is>
          <t>連携で SF 内部ユーザーを追加・利用しないこと。外部ユーザー（外部ライセンス）のみ使用すること</t>
        </is>
      </c>
      <c r="G38" s="5" t="inlineStr">
        <is>
          <t>却下（対象外・今回実施せず）</t>
        </is>
      </c>
      <c r="H38" s="5">
        <f>IF($A38="","",'14.要件×機能行列'!$BJ38)</f>
        <v/>
      </c>
      <c r="I38" s="6">
        <f>IF($A38="","",IF($H38="","",IF($H38=0,"⚠ 未割当","OK")))</f>
        <v/>
      </c>
      <c r="J38" t="inlineStr">
        <is>
          <t>BIZ-09</t>
        </is>
      </c>
      <c r="K38" t="inlineStr">
        <is>
          <t>⛔ 不実施（Won't）</t>
        </is>
      </c>
      <c r="L38" t="inlineStr">
        <is>
          <t>対象外（Won't）</t>
        </is>
      </c>
    </row>
    <row r="39" ht="66" customHeight="1">
      <c r="A39" s="5" t="inlineStr">
        <is>
          <t>REQ-036</t>
        </is>
      </c>
      <c r="B39" s="8" t="inlineStr">
        <is>
          <t>全項目自由双方向同期・改期・添付ファイル連携の不実施</t>
        </is>
      </c>
      <c r="C39" s="5" t="inlineStr">
        <is>
          <t>制約</t>
        </is>
      </c>
      <c r="D39" s="8" t="inlineStr">
        <is>
          <t>範囲決定（明確にしない事項）</t>
        </is>
      </c>
      <c r="E39" s="5" t="inlineStr">
        <is>
          <t>Won't</t>
        </is>
      </c>
      <c r="F39" s="8" t="inlineStr">
        <is>
          <t>SF 側で編集可能な canonical 項目が存在しないこと（Admin_Note__c は SF ローカル・P1 での表示）。改期・添付のコマンド種別が存在しないこと</t>
        </is>
      </c>
      <c r="G39" s="5" t="inlineStr">
        <is>
          <t>却下（対象外・今回実施せず）</t>
        </is>
      </c>
      <c r="H39" s="5">
        <f>IF($A39="","",'14.要件×機能行列'!$BJ39)</f>
        <v/>
      </c>
      <c r="I39" s="6">
        <f>IF($A39="","",IF($H39="","",IF($H39=0,"⚠ 未割当","OK")))</f>
        <v/>
      </c>
      <c r="J39" t="inlineStr">
        <is>
          <t>BIZ-12, BIZ-14</t>
        </is>
      </c>
      <c r="K39" t="inlineStr">
        <is>
          <t>⛔ 不実施（Won't）</t>
        </is>
      </c>
      <c r="L39" t="inlineStr">
        <is>
          <t>対象外（Won't）</t>
        </is>
      </c>
    </row>
    <row r="40" ht="49.5" customHeight="1">
      <c r="A40" s="5" t="inlineStr">
        <is>
          <t>REQ-037</t>
        </is>
      </c>
      <c r="B40" s="8" t="inlineStr">
        <is>
          <t>Outbox／Worker／DLQ／周期照合・指標告警の不実施（P1 持ち越し）</t>
        </is>
      </c>
      <c r="C40" s="5" t="inlineStr">
        <is>
          <t>運用</t>
        </is>
      </c>
      <c r="D40" s="8" t="inlineStr">
        <is>
          <t>範囲決定（P1 計画）</t>
        </is>
      </c>
      <c r="E40" s="5" t="inlineStr">
        <is>
          <t>Won't</t>
        </is>
      </c>
      <c r="F40" s="8" t="inlineStr">
        <is>
          <t>P0 は直接呼出＋有限リトライであること。信頼性配信の本番級機構は存在しないこと</t>
        </is>
      </c>
      <c r="G40" s="5" t="inlineStr">
        <is>
          <t>保留（P1）</t>
        </is>
      </c>
      <c r="H40" s="5">
        <f>IF($A40="","",'14.要件×機能行列'!$BJ40)</f>
        <v/>
      </c>
      <c r="I40" s="6">
        <f>IF($A40="","",IF($H40="","",IF($H40=0,"⚠ 未割当","OK")))</f>
        <v/>
      </c>
      <c r="J40" t="inlineStr">
        <is>
          <t>BIZ-12, BIZ-15</t>
        </is>
      </c>
      <c r="K40" t="inlineStr">
        <is>
          <t>⚪ P1 保留</t>
        </is>
      </c>
      <c r="L40" t="inlineStr">
        <is>
          <t>P1</t>
        </is>
      </c>
    </row>
    <row r="41" ht="49.5" customHeight="1">
      <c r="A41" s="5" t="inlineStr">
        <is>
          <t>REQ-038</t>
        </is>
      </c>
      <c r="B41" s="8" t="inlineStr">
        <is>
          <t>動的 provisioning／deprovisioning（SalesforceUserLink・Contact/User 生成・提権降権）の不実施（P1 持ち越し）</t>
        </is>
      </c>
      <c r="C41" s="5" t="inlineStr">
        <is>
          <t>運用</t>
        </is>
      </c>
      <c r="D41" s="8" t="inlineStr">
        <is>
          <t>範囲決定（P1 計画）</t>
        </is>
      </c>
      <c r="E41" s="5" t="inlineStr">
        <is>
          <t>Won't</t>
        </is>
      </c>
      <c r="F41" s="8" t="inlineStr">
        <is>
          <t>P0 では動的な外部ユーザー生成・権限変更が発生しないこと（事前設定 1 名のみ）</t>
        </is>
      </c>
      <c r="G41" s="5" t="inlineStr">
        <is>
          <t>保留（P1）</t>
        </is>
      </c>
      <c r="H41" s="5">
        <f>IF($A41="","",'14.要件×機能行列'!$BJ41)</f>
        <v/>
      </c>
      <c r="I41" s="6">
        <f>IF($A41="","",IF($H41="","",IF($H41=0,"⚠ 未割当","OK")))</f>
        <v/>
      </c>
      <c r="J41" t="inlineStr">
        <is>
          <t>BIZ-09, BIZ-10</t>
        </is>
      </c>
      <c r="K41" t="inlineStr">
        <is>
          <t>⚪ P1 保留</t>
        </is>
      </c>
      <c r="L41" t="inlineStr">
        <is>
          <t>P1</t>
        </is>
      </c>
    </row>
    <row r="42" ht="49.5" customHeight="1">
      <c r="A42" s="5" t="inlineStr">
        <is>
          <t>NFR-01</t>
        </is>
      </c>
      <c r="B42" s="8" t="inlineStr">
        <is>
          <t>性能：予約一覧・照会表示</t>
        </is>
      </c>
      <c r="C42" s="5" t="inlineStr">
        <is>
          <t>非機能</t>
        </is>
      </c>
      <c r="D42" s="8" t="inlineStr">
        <is>
          <t>RD-02 非機能要件一覧</t>
        </is>
      </c>
      <c r="E42" s="5" t="inlineStr">
        <is>
          <t>—</t>
        </is>
      </c>
      <c r="F42" s="8" t="inlineStr">
        <is>
          <t>予約一覧・照会表示（S-03）が 3 秒以内に描画完了すること（デモデータ数十件・単一ユーザー・3 回平均）</t>
        </is>
      </c>
      <c r="G42" s="5" t="inlineStr">
        <is>
          <t>設計承接（BD-10）</t>
        </is>
      </c>
      <c r="H42" s="5">
        <f>IF($A42="","",'14.要件×機能行列'!$BJ42)</f>
        <v/>
      </c>
      <c r="I42" s="6">
        <f>IF($A42="","",IF($H42="","",IF($H42=0,"設計文書承接","OK")))</f>
        <v/>
      </c>
      <c r="K42" t="inlineStr">
        <is>
          <t>設計承接（BD-10）</t>
        </is>
      </c>
      <c r="L42" t="inlineStr">
        <is>
          <t>—</t>
        </is>
      </c>
    </row>
    <row r="43" ht="33" customHeight="1">
      <c r="A43" s="5" t="inlineStr">
        <is>
          <t>NFR-02</t>
        </is>
      </c>
      <c r="B43" s="8" t="inlineStr">
        <is>
          <t>性能：予約作成 API 応答</t>
        </is>
      </c>
      <c r="C43" s="5" t="inlineStr">
        <is>
          <t>非機能</t>
        </is>
      </c>
      <c r="D43" s="8" t="inlineStr">
        <is>
          <t>RD-02 非機能要件一覧</t>
        </is>
      </c>
      <c r="E43" s="5" t="inlineStr">
        <is>
          <t>—</t>
        </is>
      </c>
      <c r="F43" s="8" t="inlineStr">
        <is>
          <t>予約作成 API 応答が 3 秒以内であること（時間枠競合リトライ発生時を除く）</t>
        </is>
      </c>
      <c r="G43" s="5" t="inlineStr">
        <is>
          <t>設計承接（BD-10）</t>
        </is>
      </c>
      <c r="H43" s="5">
        <f>IF($A43="","",'14.要件×機能行列'!$BJ43)</f>
        <v/>
      </c>
      <c r="I43" s="6">
        <f>IF($A43="","",IF($H43="","",IF($H43=0,"設計文書承接","OK")))</f>
        <v/>
      </c>
      <c r="K43" t="inlineStr">
        <is>
          <t>設計承接（BD-10）</t>
        </is>
      </c>
      <c r="L43" t="inlineStr">
        <is>
          <t>—</t>
        </is>
      </c>
    </row>
    <row r="44" ht="66" customHeight="1">
      <c r="A44" s="5" t="inlineStr">
        <is>
          <t>NFR-03</t>
        </is>
      </c>
      <c r="B44" s="8" t="inlineStr">
        <is>
          <t>性能：コマンド受付応答</t>
        </is>
      </c>
      <c r="C44" s="5" t="inlineStr">
        <is>
          <t>非機能</t>
        </is>
      </c>
      <c r="D44" s="8" t="inlineStr">
        <is>
          <t>RD-02 非機能要件一覧</t>
        </is>
      </c>
      <c r="E44" s="5" t="inlineStr">
        <is>
          <t>—</t>
        </is>
      </c>
      <c r="F44" s="8" t="inlineStr">
        <is>
          <t>コマンド受付応答（commandId／QUEUED 返却）が 2 秒以内であること。バックグラウンド完了時間は非同期のため目標値設定なし</t>
        </is>
      </c>
      <c r="G44" s="5" t="inlineStr">
        <is>
          <t>設計承接（BD-10）</t>
        </is>
      </c>
      <c r="H44" s="5">
        <f>IF($A44="","",'14.要件×機能行列'!$BJ44)</f>
        <v/>
      </c>
      <c r="I44" s="6">
        <f>IF($A44="","",IF($H44="","",IF($H44=0,"設計文書承接","OK")))</f>
        <v/>
      </c>
      <c r="K44" t="inlineStr">
        <is>
          <t>設計承接（BD-10）</t>
        </is>
      </c>
      <c r="L44" t="inlineStr">
        <is>
          <t>—</t>
        </is>
      </c>
    </row>
    <row r="45" ht="82.5" customHeight="1">
      <c r="A45" s="5" t="inlineStr">
        <is>
          <t>NFR-04</t>
        </is>
      </c>
      <c r="B45" s="8" t="inlineStr">
        <is>
          <t>セキュリティ（認証）：A1・A3</t>
        </is>
      </c>
      <c r="C45" s="5" t="inlineStr">
        <is>
          <t>非機能</t>
        </is>
      </c>
      <c r="D45" s="8" t="inlineStr">
        <is>
          <t>RD-02 非機能要件一覧</t>
        </is>
      </c>
      <c r="E45" s="5" t="inlineStr">
        <is>
          <t>—</t>
        </is>
      </c>
      <c r="F45" s="8" t="inlineStr">
        <is>
          <t>①A1：JWT（access/refresh/csrf）を HttpOnly Cookie で発行し 6 桁認証コードでログイン。②A3：Integration Guard が secret 鍵バージョン・audience・scope・時刻偏差を検証</t>
        </is>
      </c>
      <c r="G45" s="5" t="inlineStr">
        <is>
          <t>設計承接（BD-10）</t>
        </is>
      </c>
      <c r="H45" s="5">
        <f>IF($A45="","",'14.要件×機能行列'!$BJ45)</f>
        <v/>
      </c>
      <c r="I45" s="6">
        <f>IF($A45="","",IF($H45="","",IF($H45=0,"設計文書承接","OK")))</f>
        <v/>
      </c>
      <c r="K45" t="inlineStr">
        <is>
          <t>設計承接（BD-10）</t>
        </is>
      </c>
      <c r="L45" t="inlineStr">
        <is>
          <t>—</t>
        </is>
      </c>
    </row>
    <row r="46" ht="49.5" customHeight="1">
      <c r="A46" s="5" t="inlineStr">
        <is>
          <t>NFR-05</t>
        </is>
      </c>
      <c r="B46" s="8" t="inlineStr">
        <is>
          <t>セキュリティ（認可）：サーバ側最終裁定</t>
        </is>
      </c>
      <c r="C46" s="5" t="inlineStr">
        <is>
          <t>非機能</t>
        </is>
      </c>
      <c r="D46" s="8" t="inlineStr">
        <is>
          <t>RD-02 非機能要件一覧</t>
        </is>
      </c>
      <c r="E46" s="5" t="inlineStr">
        <is>
          <t>—</t>
        </is>
      </c>
      <c r="F46" s="8" t="inlineStr">
        <is>
          <t>ロール（CUSTOMER/ADMIN）ごとにサーバ側が最終裁定し、顧客 JWT による管理系 API 呼出は 403 となること</t>
        </is>
      </c>
      <c r="G46" s="5" t="inlineStr">
        <is>
          <t>設計承接（BD-10）</t>
        </is>
      </c>
      <c r="H46" s="5">
        <f>IF($A46="","",'14.要件×機能行列'!$BJ46)</f>
        <v/>
      </c>
      <c r="I46" s="6">
        <f>IF($A46="","",IF($H46="","",IF($H46=0,"設計文書承接","OK")))</f>
        <v/>
      </c>
      <c r="K46" t="inlineStr">
        <is>
          <t>設計承接（BD-10）</t>
        </is>
      </c>
      <c r="L46" t="inlineStr">
        <is>
          <t>—</t>
        </is>
      </c>
    </row>
    <row r="47" ht="82.5" customHeight="1">
      <c r="A47" s="5" t="inlineStr">
        <is>
          <t>NFR-06</t>
        </is>
      </c>
      <c r="B47" s="8" t="inlineStr">
        <is>
          <t>セキュリティ（認可）：SF 行級</t>
        </is>
      </c>
      <c r="C47" s="5" t="inlineStr">
        <is>
          <t>非機能</t>
        </is>
      </c>
      <c r="D47" s="8" t="inlineStr">
        <is>
          <t>RD-02 非機能要件一覧</t>
        </is>
      </c>
      <c r="E47" s="5" t="inlineStr">
        <is>
          <t>—</t>
        </is>
      </c>
      <c r="F47" s="8" t="inlineStr">
        <is>
          <t>Booking__c／Booking_Command__c は External OWD=Private＋Sharing Set（Account 隔離）とし、外部ユーザーは自 Account のレコードのみ CRUD/FLS の範囲で操作できること</t>
        </is>
      </c>
      <c r="G47" s="5" t="inlineStr">
        <is>
          <t>設計承接（BD-10）</t>
        </is>
      </c>
      <c r="H47" s="5">
        <f>IF($A47="","",'14.要件×機能行列'!$BJ47)</f>
        <v/>
      </c>
      <c r="I47" s="6">
        <f>IF($A47="","",IF($H47="","",IF($H47=0,"設計文書承接","OK")))</f>
        <v/>
      </c>
      <c r="K47" t="inlineStr">
        <is>
          <t>設計承接（BD-10）</t>
        </is>
      </c>
      <c r="L47" t="inlineStr">
        <is>
          <t>—</t>
        </is>
      </c>
    </row>
    <row r="48" ht="115.5" customHeight="1">
      <c r="A48" s="5" t="inlineStr">
        <is>
          <t>NFR-07</t>
        </is>
      </c>
      <c r="B48" s="8" t="inlineStr">
        <is>
          <t>セキュリティ（監査ログ）：連携トレース</t>
        </is>
      </c>
      <c r="C48" s="5" t="inlineStr">
        <is>
          <t>非機能</t>
        </is>
      </c>
      <c r="D48" s="8" t="inlineStr">
        <is>
          <t>RD-02 非機能要件一覧</t>
        </is>
      </c>
      <c r="E48" s="5" t="inlineStr">
        <is>
          <t>—</t>
        </is>
      </c>
      <c r="F48" s="8" t="inlineStr">
        <is>
          <t>CorrelationId・LastError を Booking__c／Booking_Command__c 双方に、AttemptCount・HttpStatus・NextAttemptAt を Booking_Command__c に記録。Site ログインは LoginHistory で追跡可能なこと</t>
        </is>
      </c>
      <c r="G48" s="5" t="inlineStr">
        <is>
          <t>設計承接（BD-10）</t>
        </is>
      </c>
      <c r="H48" s="5">
        <f>IF($A48="","",'14.要件×機能行列'!$BJ48)</f>
        <v/>
      </c>
      <c r="I48" s="6">
        <f>IF($A48="","",IF($H48="","",IF($H48=0,"設計文書承接","OK")))</f>
        <v/>
      </c>
      <c r="K48" t="inlineStr">
        <is>
          <t>設計承接（BD-10）</t>
        </is>
      </c>
      <c r="L48" t="inlineStr">
        <is>
          <t>—</t>
        </is>
      </c>
    </row>
    <row r="49" ht="82.5" customHeight="1">
      <c r="A49" s="5" t="inlineStr">
        <is>
          <t>NFR-08</t>
        </is>
      </c>
      <c r="B49" s="8" t="inlineStr">
        <is>
          <t>セキュリティ（暗号化・PII 排除）</t>
        </is>
      </c>
      <c r="C49" s="5" t="inlineStr">
        <is>
          <t>非機能</t>
        </is>
      </c>
      <c r="D49" s="8" t="inlineStr">
        <is>
          <t>RD-02 非機能要件一覧</t>
        </is>
      </c>
      <c r="E49" s="5" t="inlineStr">
        <is>
          <t>—</t>
        </is>
      </c>
      <c r="F49" s="8" t="inlineStr">
        <is>
          <t>全通信を HTTPS とする。JWT は HttpOnly Cookie。PII 5 項目（氏名・電話・メール・WeChat・備考）は投影ペイロード・Booking__c のいずれにも出現しないこと</t>
        </is>
      </c>
      <c r="G49" s="5" t="inlineStr">
        <is>
          <t>設計承接（BD-10）</t>
        </is>
      </c>
      <c r="H49" s="5">
        <f>IF($A49="","",'14.要件×機能行列'!$BJ49)</f>
        <v/>
      </c>
      <c r="I49" s="6">
        <f>IF($A49="","",IF($H49="","",IF($H49=0,"設計文書承接","OK")))</f>
        <v/>
      </c>
      <c r="K49" t="inlineStr">
        <is>
          <t>設計承接（BD-10）</t>
        </is>
      </c>
      <c r="L49" t="inlineStr">
        <is>
          <t>—</t>
        </is>
      </c>
    </row>
    <row r="50" ht="82.5" customHeight="1">
      <c r="A50" s="5" t="inlineStr">
        <is>
          <t>NFR-09</t>
        </is>
      </c>
      <c r="B50" s="8" t="inlineStr">
        <is>
          <t>セキュリティ（脆弱性）：Apex カバレッジ</t>
        </is>
      </c>
      <c r="C50" s="5" t="inlineStr">
        <is>
          <t>非機能</t>
        </is>
      </c>
      <c r="D50" s="8" t="inlineStr">
        <is>
          <t>RD-02 非機能要件一覧</t>
        </is>
      </c>
      <c r="E50" s="5" t="inlineStr">
        <is>
          <t>—</t>
        </is>
      </c>
      <c r="F50" s="8" t="inlineStr">
        <is>
          <t>Apex テストカバレッジ 75% 以上を維持し、P0 定義テスト（初回／重複／並行投影、旧バージョン、合法取消、409、503 Mock、権限拒否）が全件成功すること</t>
        </is>
      </c>
      <c r="G50" s="5" t="inlineStr">
        <is>
          <t>設計承接（BD-10）</t>
        </is>
      </c>
      <c r="H50" s="5">
        <f>IF($A50="","",'14.要件×機能行列'!$BJ50)</f>
        <v/>
      </c>
      <c r="I50" s="6">
        <f>IF($A50="","",IF($H50="","",IF($H50=0,"設計文書承接","OK")))</f>
        <v/>
      </c>
      <c r="K50" t="inlineStr">
        <is>
          <t>設計承接（BD-10）</t>
        </is>
      </c>
      <c r="L50" t="inlineStr">
        <is>
          <t>—</t>
        </is>
      </c>
    </row>
    <row r="51" ht="66" customHeight="1">
      <c r="A51" s="5" t="inlineStr">
        <is>
          <t>NFR-10</t>
        </is>
      </c>
      <c r="B51" s="8" t="inlineStr">
        <is>
          <t>可用性：デモ級（目標値なし）</t>
        </is>
      </c>
      <c r="C51" s="5" t="inlineStr">
        <is>
          <t>非機能</t>
        </is>
      </c>
      <c r="D51" s="8" t="inlineStr">
        <is>
          <t>RD-02 非機能要件一覧</t>
        </is>
      </c>
      <c r="E51" s="5" t="inlineStr">
        <is>
          <t>—</t>
        </is>
      </c>
      <c r="F51" s="8" t="inlineStr">
        <is>
          <t>単一構成・デモ級につき可用性率の数値目標を設定しない（RTO/RPO 不設定）。障害時は手動再起動（compose restart）で復旧すること</t>
        </is>
      </c>
      <c r="G51" s="5" t="inlineStr">
        <is>
          <t>設計承接（BD-10）</t>
        </is>
      </c>
      <c r="H51" s="5">
        <f>IF($A51="","",'14.要件×機能行列'!$BJ51)</f>
        <v/>
      </c>
      <c r="I51" s="6">
        <f>IF($A51="","",IF($H51="","",IF($H51=0,"設計文書承接","OK")))</f>
        <v/>
      </c>
      <c r="K51" t="inlineStr">
        <is>
          <t>設計承接（BD-10）</t>
        </is>
      </c>
      <c r="L51" t="inlineStr">
        <is>
          <t>—</t>
        </is>
      </c>
    </row>
    <row r="52" ht="49.5" customHeight="1">
      <c r="A52" s="5" t="inlineStr">
        <is>
          <t>NFR-11</t>
        </is>
      </c>
      <c r="B52" s="8" t="inlineStr">
        <is>
          <t>運用：retention 周期実行</t>
        </is>
      </c>
      <c r="C52" s="5" t="inlineStr">
        <is>
          <t>非機能</t>
        </is>
      </c>
      <c r="D52" s="8" t="inlineStr">
        <is>
          <t>RD-02 非機能要件一覧</t>
        </is>
      </c>
      <c r="E52" s="5" t="inlineStr">
        <is>
          <t>—</t>
        </is>
      </c>
      <c r="F52" s="8" t="inlineStr">
        <is>
          <t>retention（30 日ハードデリート）が周期実行されること。デモ期間中は月 1 回、削除ログ／件数を目視確認する</t>
        </is>
      </c>
      <c r="G52" s="5" t="inlineStr">
        <is>
          <t>設計承接（BD-10）</t>
        </is>
      </c>
      <c r="H52" s="5">
        <f>IF($A52="","",'14.要件×機能行列'!$BJ52)</f>
        <v/>
      </c>
      <c r="I52" s="6">
        <f>IF($A52="","",IF($H52="","",IF($H52=0,"設計文書承接","OK")))</f>
        <v/>
      </c>
      <c r="K52" t="inlineStr">
        <is>
          <t>設計承接（BD-10）</t>
        </is>
      </c>
      <c r="L52" t="inlineStr">
        <is>
          <t>—</t>
        </is>
      </c>
    </row>
    <row r="53" ht="49.5" customHeight="1">
      <c r="A53" s="5" t="inlineStr">
        <is>
          <t>NFR-12</t>
        </is>
      </c>
      <c r="B53" s="8" t="inlineStr">
        <is>
          <t>移行：行わない</t>
        </is>
      </c>
      <c r="C53" s="5" t="inlineStr">
        <is>
          <t>非機能</t>
        </is>
      </c>
      <c r="D53" s="8" t="inlineStr">
        <is>
          <t>RD-02 非機能要件一覧</t>
        </is>
      </c>
      <c r="E53" s="5" t="inlineStr">
        <is>
          <t>—</t>
        </is>
      </c>
      <c r="F53" s="8" t="inlineStr">
        <is>
          <t>既存システムからのデータ移行は行わない（新規構築）。移行検証は不要（対象外確認のみ）</t>
        </is>
      </c>
      <c r="G53" s="5" t="inlineStr">
        <is>
          <t>設計承接（BD-10）</t>
        </is>
      </c>
      <c r="H53" s="5">
        <f>IF($A53="","",'14.要件×機能行列'!$BJ53)</f>
        <v/>
      </c>
      <c r="I53" s="6">
        <f>IF($A53="","",IF($H53="","",IF($H53=0,"設計文書承接","OK")))</f>
        <v/>
      </c>
      <c r="K53" t="inlineStr">
        <is>
          <t>設計承接（BD-10）</t>
        </is>
      </c>
      <c r="L53" t="inlineStr">
        <is>
          <t>—</t>
        </is>
      </c>
    </row>
    <row r="54" ht="16.5" customHeight="1">
      <c r="A54" t="inlineStr">
        <is>
          <t>NFR-13</t>
        </is>
      </c>
      <c r="B54" t="inlineStr">
        <is>
          <t>拡張性：スキーマ増分最小化</t>
        </is>
      </c>
      <c r="C54" t="inlineStr">
        <is>
          <t>非機能</t>
        </is>
      </c>
      <c r="D54" t="inlineStr">
        <is>
          <t>RD-02 非機能要件一覧</t>
        </is>
      </c>
      <c r="E54" t="inlineStr">
        <is>
          <t>—</t>
        </is>
      </c>
      <c r="F54" t="inlineStr">
        <is>
          <t>P0 のスキーマ増分（version・syncStatus のみ）は P1 の Outbox／Worker 方式へ置換する際に破壊的変更を伴わないこと</t>
        </is>
      </c>
      <c r="G54" t="inlineStr">
        <is>
          <t>設計承接（BD-10）</t>
        </is>
      </c>
      <c r="H54" s="5">
        <f>IF($A54="","",'14.要件×機能行列'!$BJ54)</f>
        <v/>
      </c>
      <c r="I54" s="6">
        <f>IF($A54="","",IF($H54="","",IF($H54=0,"設計文書承接","OK")))</f>
        <v/>
      </c>
      <c r="K54" t="inlineStr">
        <is>
          <t>設計承接（BD-10）</t>
        </is>
      </c>
      <c r="L54" t="inlineStr">
        <is>
          <t>—</t>
        </is>
      </c>
    </row>
    <row r="55" ht="16.5" customHeight="1">
      <c r="A55" t="inlineStr">
        <is>
          <t>NFR-14</t>
        </is>
      </c>
      <c r="B55" t="inlineStr">
        <is>
          <t>法令・互換性：PII・標準機能内</t>
        </is>
      </c>
      <c r="C55" t="inlineStr">
        <is>
          <t>非機能</t>
        </is>
      </c>
      <c r="D55" t="inlineStr">
        <is>
          <t>RD-02 非機能要件一覧</t>
        </is>
      </c>
      <c r="E55" t="inlineStr">
        <is>
          <t>—</t>
        </is>
      </c>
      <c r="F55" t="inlineStr">
        <is>
          <t>個人情報を連携目的外に提供しない（投影ホワイトリスト運用で担保）。Salesforce 標準のセキュリティ機能（OWD・Sharing Set・CRUD/FLS）の範囲内で実装すること</t>
        </is>
      </c>
      <c r="G55" t="inlineStr">
        <is>
          <t>設計承接（BD-10）</t>
        </is>
      </c>
      <c r="H55" s="5">
        <f>IF($A55="","",'14.要件×機能行列'!$BJ55)</f>
        <v/>
      </c>
      <c r="I55" s="6">
        <f>IF($A55="","",IF($H55="","",IF($H55=0,"設計文書承接","OK")))</f>
        <v/>
      </c>
      <c r="K55" t="inlineStr">
        <is>
          <t>設計承接（BD-10）</t>
        </is>
      </c>
      <c r="L55" t="inlineStr">
        <is>
          <t>—</t>
        </is>
      </c>
    </row>
    <row r="56" ht="16.5" customHeight="1">
      <c r="H56" s="5">
        <f>IF($A56="","",'14.要件×機能行列'!$BJ56)</f>
        <v/>
      </c>
      <c r="I56" s="6">
        <f>IF($A56="","",IF($H56="","",IF($H56=0,"⚠ 未割当","OK")))</f>
        <v/>
      </c>
    </row>
    <row r="57" ht="16.5" customHeight="1">
      <c r="H57" s="5">
        <f>IF($A57="","",'14.要件×機能行列'!$BJ57)</f>
        <v/>
      </c>
      <c r="I57" s="6">
        <f>IF($A57="","",IF($H57="","",IF($H57=0,"⚠ 未割当","OK")))</f>
        <v/>
      </c>
    </row>
    <row r="58" ht="16.5" customHeight="1">
      <c r="H58" s="5">
        <f>IF($A58="","",'14.要件×機能行列'!$BJ58)</f>
        <v/>
      </c>
      <c r="I58" s="6">
        <f>IF($A58="","",IF($H58="","",IF($H58=0,"⚠ 未割当","OK")))</f>
        <v/>
      </c>
    </row>
    <row r="59" ht="16.5" customHeight="1">
      <c r="H59" s="5">
        <f>IF($A59="","",'14.要件×機能行列'!$BJ59)</f>
        <v/>
      </c>
      <c r="I59" s="6">
        <f>IF($A59="","",IF($H59="","",IF($H59=0,"⚠ 未割当","OK")))</f>
        <v/>
      </c>
    </row>
    <row r="60" ht="16.5" customHeight="1">
      <c r="H60" s="5">
        <f>IF($A60="","",'14.要件×機能行列'!$BJ60)</f>
        <v/>
      </c>
      <c r="I60" s="6">
        <f>IF($A60="","",IF($H60="","",IF($H60=0,"⚠ 未割当","OK")))</f>
        <v/>
      </c>
    </row>
    <row r="61" ht="16.5" customHeight="1">
      <c r="H61" s="5">
        <f>IF($A61="","",'14.要件×機能行列'!$BJ61)</f>
        <v/>
      </c>
      <c r="I61" s="6">
        <f>IF($A61="","",IF($H61="","",IF($H61=0,"⚠ 未割当","OK")))</f>
        <v/>
      </c>
    </row>
    <row r="62" ht="16.5" customHeight="1">
      <c r="H62" s="5">
        <f>IF($A62="","",'14.要件×機能行列'!$BJ62)</f>
        <v/>
      </c>
      <c r="I62" s="6">
        <f>IF($A62="","",IF($H62="","",IF($H62=0,"⚠ 未割当","OK")))</f>
        <v/>
      </c>
    </row>
    <row r="63" ht="16.5" customHeight="1">
      <c r="H63" s="5">
        <f>IF($A63="","",'14.要件×機能行列'!$BJ63)</f>
        <v/>
      </c>
      <c r="I63" s="6">
        <f>IF($A63="","",IF($H63="","",IF($H63=0,"⚠ 未割当","OK")))</f>
        <v/>
      </c>
    </row>
  </sheetData>
  <autoFilter ref="A3:I63"/>
  <mergeCells count="2">
    <mergeCell ref="A1:I1"/>
    <mergeCell ref="A2:I2"/>
  </mergeCells>
  <conditionalFormatting sqref="I4:I53">
    <cfRule type="expression" priority="2" dxfId="0">
      <formula>$I4="OK"</formula>
    </cfRule>
  </conditionalFormatting>
  <conditionalFormatting sqref="A4:I53">
    <cfRule type="expression" priority="1" dxfId="1">
      <formula>$I4="⚠ 未割当"</formula>
    </cfRule>
  </conditionalFormatting>
  <dataValidations count="3">
    <dataValidation sqref="C4:C63" showDropDown="0" showInputMessage="0" showErrorMessage="0" allowBlank="1" type="list">
      <formula1>"機能,非機能,制約,データ,運用"</formula1>
    </dataValidation>
    <dataValidation sqref="E4:E63" showDropDown="0" showInputMessage="0" showErrorMessage="0" allowBlank="1" type="list">
      <formula1>"Must,Should,Could,Won't"</formula1>
    </dataValidation>
    <dataValidation sqref="G4:G63" showDropDown="0" showInputMessage="0" showErrorMessage="0" allowBlank="1" type="list">
      <formula1>"未着手,設計中,実装済,検証済,保留,却下,設計承接（BD-10）"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5C8A"/>
    <outlinePr summaryBelow="1" summaryRight="1"/>
    <pageSetUpPr/>
  </sheetPr>
  <dimension ref="A1:L63"/>
  <sheetViews>
    <sheetView workbookViewId="0">
      <pane xSplit="1" ySplit="3" topLeftCell="B21" activePane="bottomRight" state="frozen"/>
      <selection activeCell="A1" sqref="A1"/>
      <selection pane="topRight" activeCell="A1" sqref="A1"/>
      <selection pane="bottomLeft" activeCell="A1" sqref="A1"/>
      <selection pane="bottomRight" activeCell="E33" sqref="E33"/>
    </sheetView>
  </sheetViews>
  <sheetFormatPr baseColWidth="8" defaultColWidth="9" defaultRowHeight="13.5"/>
  <cols>
    <col width="12" customWidth="1" min="1" max="1"/>
    <col width="36.625" customWidth="1" min="2" max="2"/>
    <col width="86.25" customWidth="1" min="3" max="3"/>
    <col width="44.5" customWidth="1" min="4" max="4"/>
    <col width="16" customWidth="1" min="5" max="5"/>
    <col width="39" customWidth="1" min="6" max="6"/>
    <col width="12" customWidth="1" min="7" max="7"/>
    <col width="11" customWidth="1" min="8" max="9"/>
    <col width="18" customWidth="1" min="10" max="10"/>
    <col width="26" customWidth="1" min="11" max="11"/>
    <col width="21.75" customWidth="1" min="12" max="12"/>
  </cols>
  <sheetData>
    <row r="1" ht="26" customHeight="1">
      <c r="A1" s="1" t="inlineStr">
        <is>
          <t>機能一覧（機能概要一覧）</t>
        </is>
      </c>
    </row>
    <row r="2" ht="22" customHeight="1">
      <c r="A2" s="2" t="inlineStr">
        <is>
          <t>机能按「业务目的」切分，不按画面切。H / I 列由行列自动统计，不要手改。灰色斜体行为示例数据。出典：BD-02 機能一覧</t>
        </is>
      </c>
    </row>
    <row r="3" ht="30" customHeight="1">
      <c r="A3" s="3" t="inlineStr">
        <is>
          <t>機能 ID</t>
        </is>
      </c>
      <c r="B3" s="3" t="inlineStr">
        <is>
          <t>機能名</t>
        </is>
      </c>
      <c r="C3" s="3" t="inlineStr">
        <is>
          <t>概要（达成什么业务目的）</t>
        </is>
      </c>
      <c r="D3" s="3" t="inlineStr">
        <is>
          <t>対応要件 ID</t>
        </is>
      </c>
      <c r="E3" s="3" t="inlineStr">
        <is>
          <t>担当ロール</t>
        </is>
      </c>
      <c r="F3" s="3" t="inlineStr">
        <is>
          <t>新規/改修/共通</t>
        </is>
      </c>
      <c r="G3" s="3" t="inlineStr">
        <is>
          <t>優先度</t>
        </is>
      </c>
      <c r="H3" s="3" t="inlineStr">
        <is>
          <t>対応要件数</t>
        </is>
      </c>
      <c r="I3" s="3" t="inlineStr">
        <is>
          <t>対応画面数</t>
        </is>
      </c>
      <c r="J3" s="3" t="inlineStr">
        <is>
          <t>判定</t>
        </is>
      </c>
      <c r="K3" s="3" t="inlineStr">
        <is>
          <t>实施状态</t>
        </is>
      </c>
      <c r="L3" s="3" t="inlineStr">
        <is>
          <t>工程</t>
        </is>
      </c>
    </row>
    <row r="4" ht="49.5" customHeight="1">
      <c r="A4" s="24" t="inlineStr">
        <is>
          <t>F-01</t>
        </is>
      </c>
      <c r="B4" s="25" t="inlineStr">
        <is>
          <t>電話番号認証コードログイン</t>
        </is>
      </c>
      <c r="C4" s="25" t="inlineStr">
        <is>
          <t>6 桁 SMS 認証コードでログインし、access/refresh/csrf を HttpOnly Cookie で発行する</t>
        </is>
      </c>
      <c r="D4" s="24" t="inlineStr">
        <is>
          <t>REQ-002</t>
        </is>
      </c>
      <c r="E4" s="24" t="inlineStr">
        <is>
          <t>顧客・管理者</t>
        </is>
      </c>
      <c r="F4" s="24" t="inlineStr">
        <is>
          <t>既存流用（共通認証）</t>
        </is>
      </c>
      <c r="G4" s="24" t="inlineStr">
        <is>
          <t>Must</t>
        </is>
      </c>
      <c r="H4" s="5">
        <f>IF($A4="","",'14.要件×機能行列'!B$64)</f>
        <v/>
      </c>
      <c r="I4" s="5">
        <f>IF($A4="","",'15.機能×画面行列'!$CD4)</f>
        <v/>
      </c>
      <c r="J4" s="6">
        <f>IF($A4="","",IF($H4=0,"⚠ 要件未紐付",IF($I4=0,"⚠ 画面未紐付","OK")))</f>
        <v/>
      </c>
      <c r="K4" t="inlineStr">
        <is>
          <t>✅ 既存実装</t>
        </is>
      </c>
      <c r="L4" t="inlineStr">
        <is>
          <t>既存（実装済）</t>
        </is>
      </c>
    </row>
    <row r="5" ht="49.5" customHeight="1">
      <c r="A5" s="24" t="inlineStr">
        <is>
          <t>F-02</t>
        </is>
      </c>
      <c r="B5" s="25" t="inlineStr">
        <is>
          <t>ユーザー登録</t>
        </is>
      </c>
      <c r="C5" s="25" t="inlineStr">
        <is>
          <t>電話番号＋認証コード＋氏名／メールで顧客アカウントを登録（電話番号重複チェック付き）</t>
        </is>
      </c>
      <c r="D5" s="24" t="inlineStr">
        <is>
          <t>REQ-001</t>
        </is>
      </c>
      <c r="E5" s="24" t="inlineStr">
        <is>
          <t>顧客</t>
        </is>
      </c>
      <c r="F5" s="24" t="inlineStr">
        <is>
          <t>既存流用</t>
        </is>
      </c>
      <c r="G5" s="24" t="inlineStr">
        <is>
          <t>Must</t>
        </is>
      </c>
      <c r="H5" s="5">
        <f>IF($A5="","",'14.要件×機能行列'!C$64)</f>
        <v/>
      </c>
      <c r="I5" s="5">
        <f>IF($A5="","",'15.機能×画面行列'!$CD5)</f>
        <v/>
      </c>
      <c r="J5" s="6">
        <f>IF($A5="","",IF($H5=0,"⚠ 要件未紐付",IF($I5=0,"⚠ 画面未紐付","OK")))</f>
        <v/>
      </c>
      <c r="K5" t="inlineStr">
        <is>
          <t>✅ 既存実装</t>
        </is>
      </c>
      <c r="L5" t="inlineStr">
        <is>
          <t>既存（実装済）</t>
        </is>
      </c>
    </row>
    <row r="6" ht="49.5" customHeight="1">
      <c r="A6" s="24" t="inlineStr">
        <is>
          <t>F-03</t>
        </is>
      </c>
      <c r="B6" s="25" t="inlineStr">
        <is>
          <t>トークン更新・ログアウト・検証</t>
        </is>
      </c>
      <c r="C6" s="25" t="inlineStr">
        <is>
          <t>401 時の自動更新、ログアウト時にトークンを Redis ブラックリストへ登録、トークン有効性検証</t>
        </is>
      </c>
      <c r="D6" s="24" t="inlineStr">
        <is>
          <t>REQ-003</t>
        </is>
      </c>
      <c r="E6" s="24" t="inlineStr">
        <is>
          <t>顧客・管理者</t>
        </is>
      </c>
      <c r="F6" s="24" t="inlineStr">
        <is>
          <t>既存流用（共通認証）</t>
        </is>
      </c>
      <c r="G6" s="24" t="inlineStr">
        <is>
          <t>Must</t>
        </is>
      </c>
      <c r="H6" s="5">
        <f>IF($A6="","",'14.要件×機能行列'!D$64)</f>
        <v/>
      </c>
      <c r="I6" s="5">
        <f>IF($A6="","",'15.機能×画面行列'!$CD6)</f>
        <v/>
      </c>
      <c r="J6" s="6">
        <f>IF($A6="","",IF($H6=0,"⚠ 要件未紐付",IF($I6=0,"⚠ 画面未紐付","OK")))</f>
        <v/>
      </c>
      <c r="K6" t="inlineStr">
        <is>
          <t>✅ 既存実装</t>
        </is>
      </c>
      <c r="L6" t="inlineStr">
        <is>
          <t>既存（実装済）</t>
        </is>
      </c>
    </row>
    <row r="7" ht="16.5" customHeight="1">
      <c r="A7" s="24" t="inlineStr">
        <is>
          <t>F-04</t>
        </is>
      </c>
      <c r="B7" s="25" t="inlineStr">
        <is>
          <t>サービスカタログ照会</t>
        </is>
      </c>
      <c r="C7" s="25" t="inlineStr">
        <is>
          <t>稼働中サービスの一覧を閲覧</t>
        </is>
      </c>
      <c r="D7" s="24" t="inlineStr">
        <is>
          <t>REQ-004</t>
        </is>
      </c>
      <c r="E7" s="24" t="inlineStr">
        <is>
          <t>顧客</t>
        </is>
      </c>
      <c r="F7" s="24" t="inlineStr">
        <is>
          <t>既存流用</t>
        </is>
      </c>
      <c r="G7" s="24" t="inlineStr">
        <is>
          <t>Must</t>
        </is>
      </c>
      <c r="H7" s="5">
        <f>IF($A7="","",'14.要件×機能行列'!E$64)</f>
        <v/>
      </c>
      <c r="I7" s="5">
        <f>IF($A7="","",'15.機能×画面行列'!$CD7)</f>
        <v/>
      </c>
      <c r="J7" s="6">
        <f>IF($A7="","",IF($H7=0,"⚠ 要件未紐付",IF($I7=0,"⚠ 画面未紐付","OK")))</f>
        <v/>
      </c>
      <c r="K7" t="inlineStr">
        <is>
          <t>✅ 既存実装</t>
        </is>
      </c>
      <c r="L7" t="inlineStr">
        <is>
          <t>既存（実装済）</t>
        </is>
      </c>
    </row>
    <row r="8" ht="33" customHeight="1">
      <c r="A8" s="24" t="inlineStr">
        <is>
          <t>F-05</t>
        </is>
      </c>
      <c r="B8" s="25" t="inlineStr">
        <is>
          <t>予約可能時間枠照会</t>
        </is>
      </c>
      <c r="C8" s="25" t="inlineStr">
        <is>
          <t>指定日の空き時間枠を照会（時間枠容量は現状固定値 1）</t>
        </is>
      </c>
      <c r="D8" s="24" t="inlineStr">
        <is>
          <t>REQ-005</t>
        </is>
      </c>
      <c r="E8" s="24" t="inlineStr">
        <is>
          <t>顧客</t>
        </is>
      </c>
      <c r="F8" s="24" t="inlineStr">
        <is>
          <t>既存流用</t>
        </is>
      </c>
      <c r="G8" s="24" t="inlineStr">
        <is>
          <t>Must</t>
        </is>
      </c>
      <c r="H8" s="5">
        <f>IF($A8="","",'14.要件×機能行列'!F$64)</f>
        <v/>
      </c>
      <c r="I8" s="5">
        <f>IF($A8="","",'15.機能×画面行列'!$CD8)</f>
        <v/>
      </c>
      <c r="J8" s="6">
        <f>IF($A8="","",IF($H8=0,"⚠ 要件未紐付",IF($I8=0,"⚠ 画面未紐付","OK")))</f>
        <v/>
      </c>
      <c r="K8" t="inlineStr">
        <is>
          <t>✅ 既存実装</t>
        </is>
      </c>
      <c r="L8" t="inlineStr">
        <is>
          <t>既存（実装済）</t>
        </is>
      </c>
    </row>
    <row r="9" ht="33" customHeight="1">
      <c r="A9" s="24" t="inlineStr">
        <is>
          <t>F-06</t>
        </is>
      </c>
      <c r="B9" s="25" t="inlineStr">
        <is>
          <t>予約作成</t>
        </is>
      </c>
      <c r="C9" s="25" t="inlineStr">
        <is>
          <t>サービス・時間枠を検証し予約（status=PENDING）を作成</t>
        </is>
      </c>
      <c r="D9" s="24" t="inlineStr">
        <is>
          <t>REQ-006</t>
        </is>
      </c>
      <c r="E9" s="24" t="inlineStr">
        <is>
          <t>顧客</t>
        </is>
      </c>
      <c r="F9" s="24" t="inlineStr">
        <is>
          <t>既存流用</t>
        </is>
      </c>
      <c r="G9" s="24" t="inlineStr">
        <is>
          <t>Must</t>
        </is>
      </c>
      <c r="H9" s="5">
        <f>IF($A9="","",'14.要件×機能行列'!G$64)</f>
        <v/>
      </c>
      <c r="I9" s="5">
        <f>IF($A9="","",'15.機能×画面行列'!$CD9)</f>
        <v/>
      </c>
      <c r="J9" s="6">
        <f>IF($A9="","",IF($H9=0,"⚠ 要件未紐付",IF($I9=0,"⚠ 画面未紐付","OK")))</f>
        <v/>
      </c>
      <c r="K9" t="inlineStr">
        <is>
          <t>✅ 既存実装</t>
        </is>
      </c>
      <c r="L9" t="inlineStr">
        <is>
          <t>既存（実装済）</t>
        </is>
      </c>
    </row>
    <row r="10" ht="49.5" customHeight="1">
      <c r="A10" s="24" t="inlineStr">
        <is>
          <t>F-07</t>
        </is>
      </c>
      <c r="B10" s="25" t="inlineStr">
        <is>
          <t>本人予約照会</t>
        </is>
      </c>
      <c r="C10" s="25" t="inlineStr">
        <is>
          <t>自分の予約リスト・詳細を照会（非管理者はバックエンド側で本人レコードに絞り込み）</t>
        </is>
      </c>
      <c r="D10" s="24" t="inlineStr">
        <is>
          <t>REQ-007</t>
        </is>
      </c>
      <c r="E10" s="24" t="inlineStr">
        <is>
          <t>顧客</t>
        </is>
      </c>
      <c r="F10" s="24" t="inlineStr">
        <is>
          <t>既存流用</t>
        </is>
      </c>
      <c r="G10" s="24" t="inlineStr">
        <is>
          <t>Must</t>
        </is>
      </c>
      <c r="H10" s="5">
        <f>IF($A10="","",'14.要件×機能行列'!H$64)</f>
        <v/>
      </c>
      <c r="I10" s="5">
        <f>IF($A10="","",'15.機能×画面行列'!$CD10)</f>
        <v/>
      </c>
      <c r="J10" s="6">
        <f>IF($A10="","",IF($H10=0,"⚠ 要件未紐付",IF($I10=0,"⚠ 画面未紐付","OK")))</f>
        <v/>
      </c>
      <c r="K10" t="inlineStr">
        <is>
          <t>✅ 既存実装</t>
        </is>
      </c>
      <c r="L10" t="inlineStr">
        <is>
          <t>既存（実装済）</t>
        </is>
      </c>
    </row>
    <row r="11" ht="49.5" customHeight="1">
      <c r="A11" s="24" t="inlineStr">
        <is>
          <t>F-08</t>
        </is>
      </c>
      <c r="B11" s="25" t="inlineStr">
        <is>
          <t>予約変更・キャンセル・削除</t>
        </is>
      </c>
      <c r="C11" s="25" t="inlineStr">
        <is>
          <t>状態遷移検証（RULE-05・RULE-07）のうえ変更・取消を実施。取消確認メールは非同期送信。DELETE は取消動作（status→CANCELLED・行保留）</t>
        </is>
      </c>
      <c r="D11" s="24" t="inlineStr">
        <is>
          <t>REQ-008</t>
        </is>
      </c>
      <c r="E11" s="24" t="inlineStr">
        <is>
          <t>顧客</t>
        </is>
      </c>
      <c r="F11" s="24" t="inlineStr">
        <is>
          <t>既存流用</t>
        </is>
      </c>
      <c r="G11" s="24" t="inlineStr">
        <is>
          <t>Must</t>
        </is>
      </c>
      <c r="H11" s="5">
        <f>IF($A11="","",'14.要件×機能行列'!I$64)</f>
        <v/>
      </c>
      <c r="I11" s="5">
        <f>IF($A11="","",'15.機能×画面行列'!$CD11)</f>
        <v/>
      </c>
      <c r="J11" s="6">
        <f>IF($A11="","",IF($H11=0,"⚠ 要件未紐付",IF($I11=0,"⚠ 画面未紐付","OK")))</f>
        <v/>
      </c>
      <c r="K11" t="inlineStr">
        <is>
          <t>✅ 既存実装</t>
        </is>
      </c>
      <c r="L11" t="inlineStr">
        <is>
          <t>既存（実装済）</t>
        </is>
      </c>
    </row>
    <row r="12" ht="33" customHeight="1">
      <c r="A12" s="24" t="inlineStr">
        <is>
          <t>F-09</t>
        </is>
      </c>
      <c r="B12" s="25" t="inlineStr">
        <is>
          <t>通知</t>
        </is>
      </c>
      <c r="C12" s="25" t="inlineStr">
        <is>
          <t>サイト内通知一覧・既読化・未読数＋WebSocket による通知配信</t>
        </is>
      </c>
      <c r="D12" s="24" t="inlineStr">
        <is>
          <t>REQ-009</t>
        </is>
      </c>
      <c r="E12" s="24" t="inlineStr">
        <is>
          <t>顧客</t>
        </is>
      </c>
      <c r="F12" s="24" t="inlineStr">
        <is>
          <t>既存流用</t>
        </is>
      </c>
      <c r="G12" s="24" t="inlineStr">
        <is>
          <t>Could</t>
        </is>
      </c>
      <c r="H12" s="5">
        <f>IF($A12="","",'14.要件×機能行列'!J$64)</f>
        <v/>
      </c>
      <c r="I12" s="5">
        <f>IF($A12="","",'15.機能×画面行列'!$CD12)</f>
        <v/>
      </c>
      <c r="J12" s="6">
        <f>IF($A12="","",IF($H12=0,"⚠ 要件未紐付",IF($I12=0,"⚠ 画面未紐付","OK")))</f>
        <v/>
      </c>
      <c r="K12" t="inlineStr">
        <is>
          <t>✅ 既存実装</t>
        </is>
      </c>
      <c r="L12" t="inlineStr">
        <is>
          <t>既存（実装済）</t>
        </is>
      </c>
    </row>
    <row r="13" ht="33" customHeight="1">
      <c r="A13" s="24" t="inlineStr">
        <is>
          <t>F-10</t>
        </is>
      </c>
      <c r="B13" s="25" t="inlineStr">
        <is>
          <t>管理コンソール（予約管理タブ）</t>
        </is>
      </c>
      <c r="C13" s="25" t="inlineStr">
        <is>
          <t>全量リスト・日次別・統計サマリによる予約管理</t>
        </is>
      </c>
      <c r="D13" s="24" t="inlineStr">
        <is>
          <t>REQ-010</t>
        </is>
      </c>
      <c r="E13" s="24" t="inlineStr">
        <is>
          <t>管理者</t>
        </is>
      </c>
      <c r="F13" s="24" t="inlineStr">
        <is>
          <t>既存流用</t>
        </is>
      </c>
      <c r="G13" s="24" t="inlineStr">
        <is>
          <t>Must</t>
        </is>
      </c>
      <c r="H13" s="5">
        <f>IF($A13="","",'14.要件×機能行列'!K$64)</f>
        <v/>
      </c>
      <c r="I13" s="5">
        <f>IF($A13="","",'15.機能×画面行列'!$CD13)</f>
        <v/>
      </c>
      <c r="J13" s="6">
        <f>IF($A13="","",IF($H13=0,"⚠ 要件未紐付",IF($I13=0,"⚠ 画面未紐付","OK")))</f>
        <v/>
      </c>
      <c r="K13" t="inlineStr">
        <is>
          <t>✅ 既存実装</t>
        </is>
      </c>
      <c r="L13" t="inlineStr">
        <is>
          <t>既存（実装済）</t>
        </is>
      </c>
    </row>
    <row r="14" ht="16.5" customHeight="1">
      <c r="A14" s="5" t="inlineStr">
        <is>
          <t>F-11</t>
        </is>
      </c>
      <c r="B14" s="8" t="inlineStr">
        <is>
          <t>サービス管理タブ</t>
        </is>
      </c>
      <c r="C14" s="8" t="inlineStr">
        <is>
          <t>サービス CRUD と稼働・停止</t>
        </is>
      </c>
      <c r="D14" s="5" t="inlineStr">
        <is>
          <t>REQ-011</t>
        </is>
      </c>
      <c r="E14" s="5" t="inlineStr">
        <is>
          <t>管理者</t>
        </is>
      </c>
      <c r="F14" s="5" t="inlineStr">
        <is>
          <t>既存流用</t>
        </is>
      </c>
      <c r="G14" s="5" t="inlineStr">
        <is>
          <t>Must</t>
        </is>
      </c>
      <c r="H14" s="5">
        <f>IF($A14="","",'14.要件×機能行列'!L$64)</f>
        <v/>
      </c>
      <c r="I14" s="5">
        <f>IF($A14="","",'15.機能×画面行列'!$CD14)</f>
        <v/>
      </c>
      <c r="J14" s="6">
        <f>IF($A14="","",IF($H14=0,"⚠ 要件未紐付",IF($I14=0,"⚠ 画面未紐付","OK")))</f>
        <v/>
      </c>
      <c r="K14" t="inlineStr">
        <is>
          <t>✅ 既存実装</t>
        </is>
      </c>
      <c r="L14" t="inlineStr">
        <is>
          <t>既存（実装済）</t>
        </is>
      </c>
    </row>
    <row r="15" ht="49.5" customHeight="1">
      <c r="A15" s="5" t="inlineStr">
        <is>
          <t>F-12</t>
        </is>
      </c>
      <c r="B15" s="8" t="inlineStr">
        <is>
          <t>ユーザー管理タブ</t>
        </is>
      </c>
      <c r="C15" s="8" t="inlineStr">
        <is>
          <t>ユーザー作成・照会・統計、状態変更（セッション取消）、ロール変更（旧トークン拒否・guard 化済・DB セッション行対応は P1）、削除</t>
        </is>
      </c>
      <c r="D15" s="5" t="inlineStr">
        <is>
          <t>REQ-013</t>
        </is>
      </c>
      <c r="E15" s="5" t="inlineStr">
        <is>
          <t>管理者</t>
        </is>
      </c>
      <c r="F15" s="5" t="inlineStr">
        <is>
          <t>既存流用</t>
        </is>
      </c>
      <c r="G15" s="5" t="inlineStr">
        <is>
          <t>Must</t>
        </is>
      </c>
      <c r="H15" s="5">
        <f>IF($A15="","",'14.要件×機能行列'!M$64)</f>
        <v/>
      </c>
      <c r="I15" s="5">
        <f>IF($A15="","",'15.機能×画面行列'!$CD15)</f>
        <v/>
      </c>
      <c r="J15" s="6">
        <f>IF($A15="","",IF($H15=0,"⚠ 要件未紐付",IF($I15=0,"⚠ 画面未紐付","OK")))</f>
        <v/>
      </c>
      <c r="K15" t="inlineStr">
        <is>
          <t>✅ 既存実装</t>
        </is>
      </c>
      <c r="L15" t="inlineStr">
        <is>
          <t>既存（実装済）</t>
        </is>
      </c>
    </row>
    <row r="16" ht="16.5" customHeight="1">
      <c r="A16" s="5" t="inlineStr">
        <is>
          <t>F-13</t>
        </is>
      </c>
      <c r="B16" s="8" t="inlineStr">
        <is>
          <t>時間枠管理</t>
        </is>
      </c>
      <c r="C16" s="8" t="inlineStr">
        <is>
          <t>時間枠 CRUD と稼働・停止</t>
        </is>
      </c>
      <c r="D16" s="5" t="inlineStr">
        <is>
          <t>REQ-012</t>
        </is>
      </c>
      <c r="E16" s="5" t="inlineStr">
        <is>
          <t>管理者</t>
        </is>
      </c>
      <c r="F16" s="5" t="inlineStr">
        <is>
          <t>既存流用</t>
        </is>
      </c>
      <c r="G16" s="5" t="inlineStr">
        <is>
          <t>Must</t>
        </is>
      </c>
      <c r="H16" s="5">
        <f>IF($A16="","",'14.要件×機能行列'!N$64)</f>
        <v/>
      </c>
      <c r="I16" s="5">
        <f>IF($A16="","",'15.機能×画面行列'!$CD16)</f>
        <v/>
      </c>
      <c r="J16" s="6">
        <f>IF($A16="","",IF($H16=0,"⚠ 要件未紐付",IF($I16=0,"⚠ 画面未紐付","OK")))</f>
        <v/>
      </c>
      <c r="K16" t="inlineStr">
        <is>
          <t>✅ 既存実装</t>
        </is>
      </c>
      <c r="L16" t="inlineStr">
        <is>
          <t>既存（実装済）</t>
        </is>
      </c>
    </row>
    <row r="17" ht="66" customHeight="1">
      <c r="A17" s="5" t="inlineStr">
        <is>
          <t>F-14</t>
        </is>
      </c>
      <c r="B17" s="8" t="inlineStr">
        <is>
          <t>アカウント状態提示</t>
        </is>
      </c>
      <c r="C17" s="8" t="inlineStr">
        <is>
          <t>無効化・降格ユーザーを提示ページへ誘導（?reason=ROLE_CHANGED_FROM_ADMIN）</t>
        </is>
      </c>
      <c r="D17" s="5" t="inlineStr">
        <is>
          <t>REQ-015</t>
        </is>
      </c>
      <c r="E17" s="5" t="inlineStr">
        <is>
          <t>顧客・管理者</t>
        </is>
      </c>
      <c r="F17" s="5" t="inlineStr">
        <is>
          <t>既存流用</t>
        </is>
      </c>
      <c r="G17" s="5" t="inlineStr">
        <is>
          <t>Should</t>
        </is>
      </c>
      <c r="H17" s="5">
        <f>IF($A17="","",'14.要件×機能行列'!O$64)</f>
        <v/>
      </c>
      <c r="I17" s="5">
        <f>IF($A17="","",'15.機能×画面行列'!$CD17)</f>
        <v/>
      </c>
      <c r="J17" s="6">
        <f>IF($A17="","",IF($H17=0,"⚠ 要件未紐付",IF($I17=0,"⚠ 画面未紐付","OK")))</f>
        <v/>
      </c>
      <c r="K17" t="inlineStr">
        <is>
          <t>✅ 既存実装</t>
        </is>
      </c>
      <c r="L17" t="inlineStr">
        <is>
          <t>既存（実装済）</t>
        </is>
      </c>
    </row>
    <row r="18" ht="33" customHeight="1">
      <c r="A18" s="5" t="inlineStr">
        <is>
          <t>F-15</t>
        </is>
      </c>
      <c r="B18" s="8" t="inlineStr">
        <is>
          <t>ファイルアップロード</t>
        </is>
      </c>
      <c r="C18" s="8" t="inlineStr">
        <is>
          <t>単一・複数ファイル、アバター画像（本スライス対象外・要件化対象外）</t>
        </is>
      </c>
      <c r="D18" s="5" t="inlineStr">
        <is>
          <t>—（対象外）</t>
        </is>
      </c>
      <c r="E18" s="5" t="inlineStr">
        <is>
          <t>顧客・管理者</t>
        </is>
      </c>
      <c r="F18" s="5" t="inlineStr">
        <is>
          <t>既存流用</t>
        </is>
      </c>
      <c r="G18" s="5" t="inlineStr">
        <is>
          <t>—</t>
        </is>
      </c>
      <c r="H18" s="5">
        <f>IF($A18="","",'14.要件×機能行列'!P$64)</f>
        <v/>
      </c>
      <c r="I18" s="5">
        <f>IF($A18="","",'15.機能×画面行列'!$CD18)</f>
        <v/>
      </c>
      <c r="J18" s="6">
        <f>IF($A18="","",IF($H18=0,"⚠ 要件未紐付",IF($I18=0,"⚠ 画面未紐付","OK")))</f>
        <v/>
      </c>
      <c r="K18" t="inlineStr">
        <is>
          <t>—（対象外・要件化外）</t>
        </is>
      </c>
      <c r="L18" t="inlineStr">
        <is>
          <t>既存（実装済・要件/画面未紐付）</t>
        </is>
      </c>
    </row>
    <row r="19" ht="82.5" customHeight="1">
      <c r="A19" s="5" t="inlineStr">
        <is>
          <t>F-20</t>
        </is>
      </c>
      <c r="B19" s="8" t="inlineStr">
        <is>
          <t>予約投影</t>
        </is>
      </c>
      <c r="C19" s="8" t="inlineStr">
        <is>
          <t>予約正本（TERM-08）の変更（作成・変更・キャンセル全て）を Booking__c（TERM-09）へ冪等投影。External ID 定位＋version ゲート＋eventId 再送対応。PII 含まず</t>
        </is>
      </c>
      <c r="D19" s="5" t="inlineStr">
        <is>
          <t>REQ-018（主）・REQ-019/024/029/033</t>
        </is>
      </c>
      <c r="E19" s="5" t="inlineStr">
        <is>
          <t>システム（Booking API → Apex）</t>
        </is>
      </c>
      <c r="F19" s="5" t="inlineStr">
        <is>
          <t>新規（P0-3 計画）</t>
        </is>
      </c>
      <c r="G19" s="5" t="inlineStr">
        <is>
          <t>Must</t>
        </is>
      </c>
      <c r="H19" s="5">
        <f>IF($A19="","",'14.要件×機能行列'!Q$64)</f>
        <v/>
      </c>
      <c r="I19" s="5">
        <f>IF($A19="","",'15.機能×画面行列'!$CD19)</f>
        <v/>
      </c>
      <c r="J19" s="6">
        <f>IF($A19="","",IF($H19=0,"⚠ 要件未紐付",IF($I19=0,"⚠ 画面未紐付","OK")))</f>
        <v/>
      </c>
      <c r="K19" t="inlineStr">
        <is>
          <t>🔵 部分実施（SF 側受入口済〔6b9d970〕・Booking 側残）</t>
        </is>
      </c>
      <c r="L19" t="inlineStr">
        <is>
          <t>P0-3</t>
        </is>
      </c>
    </row>
    <row r="20" ht="66" customHeight="1">
      <c r="A20" s="5" t="inlineStr">
        <is>
          <t>F-21</t>
        </is>
      </c>
      <c r="B20" s="8" t="inlineStr">
        <is>
          <t>管理者入口遷移</t>
        </is>
      </c>
      <c r="C20" s="8" t="inlineStr">
        <is>
          <t>Booking 管理コンソールに「Salesforce 管理ワークベンチ」ボタンを表示し、Site ログインページへ遷移（遷移＝SSO ではない）</t>
        </is>
      </c>
      <c r="D20" s="5" t="inlineStr">
        <is>
          <t>REQ-017（前提 REQ-026）</t>
        </is>
      </c>
      <c r="E20" s="5" t="inlineStr">
        <is>
          <t>管理者</t>
        </is>
      </c>
      <c r="F20" s="5" t="inlineStr">
        <is>
          <t>新規（P0-4 計画）</t>
        </is>
      </c>
      <c r="G20" s="5" t="inlineStr">
        <is>
          <t>Must</t>
        </is>
      </c>
      <c r="H20" s="5">
        <f>IF($A20="","",'14.要件×機能行列'!R$64)</f>
        <v/>
      </c>
      <c r="I20" s="5">
        <f>IF($A20="","",'15.機能×画面行列'!$CD20)</f>
        <v/>
      </c>
      <c r="J20" s="6">
        <f>IF($A20="","",IF($H20=0,"⚠ 要件未紐付",IF($I20=0,"⚠ 画面未紐付","OK")))</f>
        <v/>
      </c>
      <c r="K20" t="inlineStr">
        <is>
          <t>🔵 P0-4 計画</t>
        </is>
      </c>
      <c r="L20" t="inlineStr">
        <is>
          <t>P0-4</t>
        </is>
      </c>
    </row>
    <row r="21" ht="66" customHeight="1">
      <c r="A21" s="5" t="inlineStr">
        <is>
          <t>F-22</t>
        </is>
      </c>
      <c r="B21" s="8" t="inlineStr">
        <is>
          <t>Site 独立ログイン</t>
        </is>
      </c>
      <c r="C21" s="8" t="inlineStr">
        <is>
          <t>外部ユーザーが /02/login から Experience Site に独立ログイン（Booking の PW/JWT/Cookie は送信しない・RULE-18）</t>
        </is>
      </c>
      <c r="D21" s="5" t="inlineStr">
        <is>
          <t>REQ-016</t>
        </is>
      </c>
      <c r="E21" s="5" t="inlineStr">
        <is>
          <t>管理者（外部ユーザーとして）</t>
        </is>
      </c>
      <c r="F21" s="5" t="inlineStr">
        <is>
          <t>既存（P0-1・ログイン部分検証済）</t>
        </is>
      </c>
      <c r="G21" s="5" t="inlineStr">
        <is>
          <t>Must</t>
        </is>
      </c>
      <c r="H21" s="5">
        <f>IF($A21="","",'14.要件×機能行列'!S$64)</f>
        <v/>
      </c>
      <c r="I21" s="5">
        <f>IF($A21="","",'15.機能×画面行列'!$CD21)</f>
        <v/>
      </c>
      <c r="J21" s="6">
        <f>IF($A21="","",IF($H21=0,"⚠ 要件未紐付",IF($I21=0,"⚠ 画面未紐付","OK")))</f>
        <v/>
      </c>
      <c r="K21" t="inlineStr">
        <is>
          <t>✅ 検証済（P0-1・ログイン部分）</t>
        </is>
      </c>
      <c r="L21" t="inlineStr">
        <is>
          <t>P0-1（完了）/P0-4</t>
        </is>
      </c>
    </row>
    <row r="22" ht="33" customHeight="1">
      <c r="A22" s="5" t="inlineStr">
        <is>
          <t>F-23</t>
        </is>
      </c>
      <c r="B22" s="8" t="inlineStr">
        <is>
          <t>投影リスト表示</t>
        </is>
      </c>
      <c r="C22" s="8" t="inlineStr">
        <is>
          <t>Site 内 LWC で自 Account の予約投影を閲覧（行級限定・読取専用）</t>
        </is>
      </c>
      <c r="D22" s="5" t="inlineStr">
        <is>
          <t>REQ-020（＋REQ-030）</t>
        </is>
      </c>
      <c r="E22" s="5" t="inlineStr">
        <is>
          <t>管理者（外部ユーザーとして）</t>
        </is>
      </c>
      <c r="F22" s="5" t="inlineStr">
        <is>
          <t>新規（P0-4 計画）</t>
        </is>
      </c>
      <c r="G22" s="5" t="inlineStr">
        <is>
          <t>Must</t>
        </is>
      </c>
      <c r="H22" s="5">
        <f>IF($A22="","",'14.要件×機能行列'!T$64)</f>
        <v/>
      </c>
      <c r="I22" s="5">
        <f>IF($A22="","",'15.機能×画面行列'!$CD22)</f>
        <v/>
      </c>
      <c r="J22" s="6">
        <f>IF($A22="","",IF($H22=0,"⚠ 要件未紐付",IF($I22=0,"⚠ 画面未紐付","OK")))</f>
        <v/>
      </c>
      <c r="K22" t="inlineStr">
        <is>
          <t>🔵 P0-4 計画</t>
        </is>
      </c>
      <c r="L22" t="inlineStr">
        <is>
          <t>P0-4</t>
        </is>
      </c>
    </row>
    <row r="23" ht="66" customHeight="1">
      <c r="A23" s="5" t="inlineStr">
        <is>
          <t>F-24</t>
        </is>
      </c>
      <c r="B23" s="8" t="inlineStr">
        <is>
          <t>キャンセルコマンド受理</t>
        </is>
      </c>
      <c r="C23" s="8" t="inlineStr">
        <is>
          <t>Site から CANCEL_BOOKING を送信し、Booking_Command__c を生成して commandId／QUEUED を即時返却。状態はポーリングで取得</t>
        </is>
      </c>
      <c r="D23" s="5" t="inlineStr">
        <is>
          <t>REQ-021（＋REQ-030）</t>
        </is>
      </c>
      <c r="E23" s="5" t="inlineStr">
        <is>
          <t>管理者（送信）＋システム（受付）</t>
        </is>
      </c>
      <c r="F23" s="5" t="inlineStr">
        <is>
          <t>新規（P0-3/P0-4 計画）</t>
        </is>
      </c>
      <c r="G23" s="5" t="inlineStr">
        <is>
          <t>Must</t>
        </is>
      </c>
      <c r="H23" s="5">
        <f>IF($A23="","",'14.要件×機能行列'!U$64)</f>
        <v/>
      </c>
      <c r="I23" s="5">
        <f>IF($A23="","",'15.機能×画面行列'!$CD23)</f>
        <v/>
      </c>
      <c r="J23" s="6">
        <f>IF($A23="","",IF($H23=0,"⚠ 要件未紐付",IF($I23=0,"⚠ 画面未紐付","OK")))</f>
        <v/>
      </c>
      <c r="K23" t="inlineStr">
        <is>
          <t>🔵 P0-3/P0-4 計画</t>
        </is>
      </c>
      <c r="L23" t="inlineStr">
        <is>
          <t>P0-3/P0-4</t>
        </is>
      </c>
    </row>
    <row r="24" ht="115.5" customHeight="1">
      <c r="A24" s="5" t="inlineStr">
        <is>
          <t>F-25</t>
        </is>
      </c>
      <c r="B24" s="8" t="inlineStr">
        <is>
          <t>コマンドバックグラウンド実行</t>
        </is>
      </c>
      <c r="C24" s="8" t="inlineStr">
        <is>
          <t>Queueable が Named Credential で Booking 統合端点を呼出。Integration Guard・静的マッピング・ADMIN/ACTIVE・状態・expectedVersion を検証し同一トランザクションで正本更新。409＝リトライせず・503/timeout＝限定リトライ</t>
        </is>
      </c>
      <c r="D24" s="5" t="inlineStr">
        <is>
          <t>REQ-022（主）・REQ-023/024/026/027/028/029/031</t>
        </is>
      </c>
      <c r="E24" s="5" t="inlineStr">
        <is>
          <t>システム</t>
        </is>
      </c>
      <c r="F24" s="5" t="inlineStr">
        <is>
          <t>新規（P0-3 計画）</t>
        </is>
      </c>
      <c r="G24" s="5" t="inlineStr">
        <is>
          <t>Must</t>
        </is>
      </c>
      <c r="H24" s="5">
        <f>IF($A24="","",'14.要件×機能行列'!V$64)</f>
        <v/>
      </c>
      <c r="I24" s="5">
        <f>IF($A24="","",'15.機能×画面行列'!$CD24)</f>
        <v/>
      </c>
      <c r="J24" s="6">
        <f>IF($A24="","",IF($H24=0,"⚠ 要件未紐付",IF($I24=0,"⚠ 画面未紐付","OK")))</f>
        <v/>
      </c>
      <c r="K24" t="inlineStr">
        <is>
          <t>🔵 P0-3 計画</t>
        </is>
      </c>
      <c r="L24" t="inlineStr">
        <is>
          <t>P0-3</t>
        </is>
      </c>
    </row>
    <row r="25" ht="49.5" customHeight="1">
      <c r="A25" s="5" t="inlineStr">
        <is>
          <t>F-26</t>
        </is>
      </c>
      <c r="B25" s="8" t="inlineStr">
        <is>
          <t>結果書き戻し</t>
        </is>
      </c>
      <c r="C25" s="8" t="inlineStr">
        <is>
          <t>コマンド成功後、バージョンゲート付きで canonical result を Booking__c に書き戻す（incomingVersion が高い場合のみ）</t>
        </is>
      </c>
      <c r="D25" s="5" t="inlineStr">
        <is>
          <t>REQ-025（＋REQ-024）</t>
        </is>
      </c>
      <c r="E25" s="5" t="inlineStr">
        <is>
          <t>システム</t>
        </is>
      </c>
      <c r="F25" s="5" t="inlineStr">
        <is>
          <t>新規（P0-3 計画）</t>
        </is>
      </c>
      <c r="G25" s="5" t="inlineStr">
        <is>
          <t>Must</t>
        </is>
      </c>
      <c r="H25" s="5">
        <f>IF($A25="","",'14.要件×機能行列'!W$64)</f>
        <v/>
      </c>
      <c r="I25" s="5">
        <f>IF($A25="","",'15.機能×画面行列'!$CD25)</f>
        <v/>
      </c>
      <c r="J25" s="6">
        <f>IF($A25="","",IF($H25=0,"⚠ 要件未紐付",IF($I25=0,"⚠ 画面未紐付","OK")))</f>
        <v/>
      </c>
      <c r="K25" t="inlineStr">
        <is>
          <t>🔵 P0-3 計画</t>
        </is>
      </c>
      <c r="L25" t="inlineStr">
        <is>
          <t>P0-3</t>
        </is>
      </c>
    </row>
    <row r="26" ht="33" customHeight="1">
      <c r="A26" s="5" t="inlineStr">
        <is>
          <t>F-30</t>
        </is>
      </c>
      <c r="B26" s="8" t="inlineStr">
        <is>
          <t>Site アクセス・メンバー管理</t>
        </is>
      </c>
      <c r="C26" s="8" t="inlineStr">
        <is>
          <t>Network Live・メンバー 4 件・SelfReg=false の維持確認</t>
        </is>
      </c>
      <c r="D26" s="5" t="inlineStr">
        <is>
          <t>REQ-034（不実施確認対象）</t>
        </is>
      </c>
      <c r="E26" s="5" t="inlineStr">
        <is>
          <t>管理者（外部ユーザー）</t>
        </is>
      </c>
      <c r="F26" s="5" t="inlineStr">
        <is>
          <t>既存（P0-1）</t>
        </is>
      </c>
      <c r="G26" s="5" t="inlineStr">
        <is>
          <t>Won't</t>
        </is>
      </c>
      <c r="H26" s="5">
        <f>IF($A26="","",'14.要件×機能行列'!X$64)</f>
        <v/>
      </c>
      <c r="I26" s="5">
        <f>IF($A26="","",'15.機能×画面行列'!$CD26)</f>
        <v/>
      </c>
      <c r="J26" s="6">
        <f>IF($A26="","",IF($H26=0,"⚠ 要件未紐付",IF($I26=0,"⚠ 画面未紐付","OK")))</f>
        <v/>
      </c>
      <c r="K26" t="inlineStr">
        <is>
          <t>✅ 既存（P0-1・REQ-034 確認対象）</t>
        </is>
      </c>
      <c r="L26" t="inlineStr">
        <is>
          <t>P0-1（完了）</t>
        </is>
      </c>
    </row>
    <row r="27" ht="33" customHeight="1">
      <c r="A27" s="5" t="inlineStr">
        <is>
          <t>F-31</t>
        </is>
      </c>
      <c r="B27" s="8" t="inlineStr">
        <is>
          <t>外部ユーザーライフサイクル（静的部分）</t>
        </is>
      </c>
      <c r="C27" s="8" t="inlineStr">
        <is>
          <t>事前設定 1 名の外部ユーザーで運用（動的部分は P1 保留）</t>
        </is>
      </c>
      <c r="D27" s="5" t="inlineStr">
        <is>
          <t>REQ-038（動的部分 P1）</t>
        </is>
      </c>
      <c r="E27" s="5" t="inlineStr">
        <is>
          <t>管理者</t>
        </is>
      </c>
      <c r="F27" s="5" t="inlineStr">
        <is>
          <t>既存（静的 1 名）＋⚪ P1</t>
        </is>
      </c>
      <c r="G27" s="5" t="inlineStr">
        <is>
          <t>Won't</t>
        </is>
      </c>
      <c r="H27" s="5">
        <f>IF($A27="","",'14.要件×機能行列'!Y$64)</f>
        <v/>
      </c>
      <c r="I27" s="5">
        <f>IF($A27="","",'15.機能×画面行列'!$CD27)</f>
        <v/>
      </c>
      <c r="J27" s="6">
        <f>IF($A27="","",IF($H27=0,"⚠ 要件未紐付",IF($I27=0,"⚠ 画面未紐付","OK")))</f>
        <v/>
      </c>
      <c r="K27" t="inlineStr">
        <is>
          <t>✅ 静的 1 名（動的 ⚪ P1）</t>
        </is>
      </c>
      <c r="L27" t="inlineStr">
        <is>
          <t>既存/P1</t>
        </is>
      </c>
    </row>
    <row r="28" ht="49.5" customHeight="1">
      <c r="A28" s="5" t="inlineStr">
        <is>
          <t>F-32</t>
        </is>
      </c>
      <c r="B28" s="8" t="inlineStr">
        <is>
          <t>オブジェクト権限マトリクス</t>
        </is>
      </c>
      <c r="C28" s="8" t="inlineStr">
        <is>
          <t>Booking__c／Booking_Command__c の外部ユーザー最小 CRUD/FLS・Sharing Set 行級・External OWD=Private</t>
        </is>
      </c>
      <c r="D28" s="5" t="inlineStr">
        <is>
          <t>REQ-030</t>
        </is>
      </c>
      <c r="E28" s="5" t="inlineStr">
        <is>
          <t>システム（権限設定）</t>
        </is>
      </c>
      <c r="F28" s="5" t="inlineStr">
        <is>
          <t>新規（P0-2 契約凍結）</t>
        </is>
      </c>
      <c r="G28" s="5" t="inlineStr">
        <is>
          <t>Must</t>
        </is>
      </c>
      <c r="H28" s="5">
        <f>IF($A28="","",'14.要件×機能行列'!Z$64)</f>
        <v/>
      </c>
      <c r="I28" s="5">
        <f>IF($A28="","",'15.機能×画面行列'!$CD28)</f>
        <v/>
      </c>
      <c r="J28" s="6">
        <f>IF($A28="","",IF($H28=0,"⚠ 要件未紐付",IF($I28=0,"⚠ 画面未紐付","OK")))</f>
        <v/>
      </c>
      <c r="K28" t="inlineStr">
        <is>
          <t>✅ 実施済（2026-09-02・S-3/S-4）</t>
        </is>
      </c>
      <c r="L28" t="inlineStr">
        <is>
          <t>P0-2</t>
        </is>
      </c>
    </row>
    <row r="29" ht="49.5" customHeight="1">
      <c r="A29" s="5" t="inlineStr">
        <is>
          <t>F-33</t>
        </is>
      </c>
      <c r="B29" s="8" t="inlineStr">
        <is>
          <t>信頼性配信・対合・告警</t>
        </is>
      </c>
      <c r="C29" s="8" t="inlineStr">
        <is>
          <t>Outbox/Worker・DLQ・周期対合・指標告警（P1・本件スコープ外。P0 は直接呼出＋有限リトライ＋手動 Retry）</t>
        </is>
      </c>
      <c r="D29" s="5" t="inlineStr">
        <is>
          <t>REQ-037（本件では対応しない）</t>
        </is>
      </c>
      <c r="E29" s="5" t="inlineStr">
        <is>
          <t>システム</t>
        </is>
      </c>
      <c r="F29" s="5" t="inlineStr">
        <is>
          <t>⚪ P1</t>
        </is>
      </c>
      <c r="G29" s="5" t="inlineStr">
        <is>
          <t>Won't</t>
        </is>
      </c>
      <c r="H29" s="5">
        <f>IF($A29="","",'14.要件×機能行列'!AA$64)</f>
        <v/>
      </c>
      <c r="I29" s="5">
        <f>IF($A29="","",'15.機能×画面行列'!$CD29)</f>
        <v/>
      </c>
      <c r="J29" s="6">
        <f>IF($A29="","",IF($H29=0,"⚠ 要件未紐付",IF($I29=0,"⚠ 画面未紐付","OK")))</f>
        <v/>
      </c>
      <c r="K29" t="inlineStr">
        <is>
          <t>⚪ P1（本件スコープ外）</t>
        </is>
      </c>
      <c r="L29" t="inlineStr">
        <is>
          <t>P1</t>
        </is>
      </c>
    </row>
    <row r="30" ht="16.5" customHeight="1">
      <c r="A30" s="5" t="n"/>
      <c r="B30" s="8" t="n"/>
      <c r="C30" s="8" t="n"/>
      <c r="D30" s="5" t="n"/>
      <c r="E30" s="5" t="n"/>
      <c r="F30" s="5" t="n"/>
      <c r="G30" s="5" t="n"/>
      <c r="H30" s="5">
        <f>IF($A30="","",'14.要件×機能行列'!AB$64)</f>
        <v/>
      </c>
      <c r="I30" s="5">
        <f>IF($A30="","",'15.機能×画面行列'!$CD30)</f>
        <v/>
      </c>
      <c r="J30" s="6">
        <f>IF($A30="","",IF($H30=0,"⚠ 要件未紐付",IF($I30=0,"⚠ 画面未紐付","OK")))</f>
        <v/>
      </c>
    </row>
    <row r="31" ht="16.5" customHeight="1">
      <c r="A31" s="5" t="n"/>
      <c r="B31" s="8" t="n"/>
      <c r="C31" s="8" t="n"/>
      <c r="D31" s="5" t="n"/>
      <c r="E31" s="5" t="n"/>
      <c r="F31" s="5" t="n"/>
      <c r="G31" s="5" t="n"/>
      <c r="H31" s="5">
        <f>IF($A31="","",'14.要件×機能行列'!AC$64)</f>
        <v/>
      </c>
      <c r="I31" s="5">
        <f>IF($A31="","",'15.機能×画面行列'!$CD31)</f>
        <v/>
      </c>
      <c r="J31" s="6">
        <f>IF($A31="","",IF($H31=0,"⚠ 要件未紐付",IF($I31=0,"⚠ 画面未紐付","OK")))</f>
        <v/>
      </c>
    </row>
    <row r="32" ht="16.5" customHeight="1">
      <c r="A32" s="5" t="n"/>
      <c r="B32" s="8" t="n"/>
      <c r="C32" s="8" t="n"/>
      <c r="D32" s="5" t="n"/>
      <c r="E32" s="5" t="n"/>
      <c r="F32" s="5" t="n"/>
      <c r="G32" s="5" t="n"/>
      <c r="H32" s="5">
        <f>IF($A32="","",'14.要件×機能行列'!AD$64)</f>
        <v/>
      </c>
      <c r="I32" s="5">
        <f>IF($A32="","",'15.機能×画面行列'!$CD32)</f>
        <v/>
      </c>
      <c r="J32" s="6">
        <f>IF($A32="","",IF($H32=0,"⚠ 要件未紐付",IF($I32=0,"⚠ 画面未紐付","OK")))</f>
        <v/>
      </c>
    </row>
    <row r="33" ht="16.5" customHeight="1">
      <c r="A33" s="5" t="n"/>
      <c r="B33" s="8" t="n"/>
      <c r="C33" s="8" t="n"/>
      <c r="D33" s="5" t="n"/>
      <c r="E33" s="5" t="n"/>
      <c r="F33" s="5" t="n"/>
      <c r="G33" s="5" t="n"/>
      <c r="H33" s="5">
        <f>IF($A33="","",'14.要件×機能行列'!AE$64)</f>
        <v/>
      </c>
      <c r="I33" s="5">
        <f>IF($A33="","",'15.機能×画面行列'!$CD33)</f>
        <v/>
      </c>
      <c r="J33" s="6">
        <f>IF($A33="","",IF($H33=0,"⚠ 要件未紐付",IF($I33=0,"⚠ 画面未紐付","OK")))</f>
        <v/>
      </c>
    </row>
    <row r="34" ht="16.5" customHeight="1">
      <c r="A34" s="5" t="n"/>
      <c r="B34" s="8" t="n"/>
      <c r="C34" s="8" t="n"/>
      <c r="D34" s="5" t="n"/>
      <c r="E34" s="5" t="n"/>
      <c r="F34" s="5" t="n"/>
      <c r="G34" s="5" t="n"/>
      <c r="H34" s="5">
        <f>IF($A34="","",'14.要件×機能行列'!AF$64)</f>
        <v/>
      </c>
      <c r="I34" s="5">
        <f>IF($A34="","",'15.機能×画面行列'!$CD34)</f>
        <v/>
      </c>
      <c r="J34" s="6">
        <f>IF($A34="","",IF($H34=0,"⚠ 要件未紐付",IF($I34=0,"⚠ 画面未紐付","OK")))</f>
        <v/>
      </c>
    </row>
    <row r="35" ht="16.5" customHeight="1">
      <c r="A35" s="5" t="n"/>
      <c r="B35" s="8" t="n"/>
      <c r="C35" s="8" t="n"/>
      <c r="D35" s="5" t="n"/>
      <c r="E35" s="5" t="n"/>
      <c r="F35" s="5" t="n"/>
      <c r="G35" s="5" t="n"/>
      <c r="H35" s="5">
        <f>IF($A35="","",'14.要件×機能行列'!AG$64)</f>
        <v/>
      </c>
      <c r="I35" s="5">
        <f>IF($A35="","",'15.機能×画面行列'!$CD35)</f>
        <v/>
      </c>
      <c r="J35" s="6">
        <f>IF($A35="","",IF($H35=0,"⚠ 要件未紐付",IF($I35=0,"⚠ 画面未紐付","OK")))</f>
        <v/>
      </c>
    </row>
    <row r="36" ht="16.5" customHeight="1">
      <c r="A36" s="5" t="n"/>
      <c r="B36" s="8" t="n"/>
      <c r="C36" s="8" t="n"/>
      <c r="D36" s="5" t="n"/>
      <c r="E36" s="5" t="n"/>
      <c r="F36" s="5" t="n"/>
      <c r="G36" s="5" t="n"/>
      <c r="H36" s="5">
        <f>IF($A36="","",'14.要件×機能行列'!AH$64)</f>
        <v/>
      </c>
      <c r="I36" s="5">
        <f>IF($A36="","",'15.機能×画面行列'!$CD36)</f>
        <v/>
      </c>
      <c r="J36" s="6">
        <f>IF($A36="","",IF($H36=0,"⚠ 要件未紐付",IF($I36=0,"⚠ 画面未紐付","OK")))</f>
        <v/>
      </c>
    </row>
    <row r="37" ht="16.5" customHeight="1">
      <c r="A37" s="5" t="n"/>
      <c r="B37" s="8" t="n"/>
      <c r="C37" s="8" t="n"/>
      <c r="D37" s="5" t="n"/>
      <c r="E37" s="5" t="n"/>
      <c r="F37" s="5" t="n"/>
      <c r="G37" s="5" t="n"/>
      <c r="H37" s="5">
        <f>IF($A37="","",'14.要件×機能行列'!AI$64)</f>
        <v/>
      </c>
      <c r="I37" s="5">
        <f>IF($A37="","",'15.機能×画面行列'!$CD37)</f>
        <v/>
      </c>
      <c r="J37" s="6">
        <f>IF($A37="","",IF($H37=0,"⚠ 要件未紐付",IF($I37=0,"⚠ 画面未紐付","OK")))</f>
        <v/>
      </c>
    </row>
    <row r="38" ht="16.5" customHeight="1">
      <c r="A38" s="5" t="n"/>
      <c r="B38" s="8" t="n"/>
      <c r="C38" s="8" t="n"/>
      <c r="D38" s="5" t="n"/>
      <c r="E38" s="5" t="n"/>
      <c r="F38" s="5" t="n"/>
      <c r="G38" s="5" t="n"/>
      <c r="H38" s="5">
        <f>IF($A38="","",'14.要件×機能行列'!AJ$64)</f>
        <v/>
      </c>
      <c r="I38" s="5">
        <f>IF($A38="","",'15.機能×画面行列'!$CD38)</f>
        <v/>
      </c>
      <c r="J38" s="6">
        <f>IF($A38="","",IF($H38=0,"⚠ 要件未紐付",IF($I38=0,"⚠ 画面未紐付","OK")))</f>
        <v/>
      </c>
    </row>
    <row r="39" ht="16.5" customHeight="1">
      <c r="A39" s="5" t="n"/>
      <c r="B39" s="8" t="n"/>
      <c r="C39" s="8" t="n"/>
      <c r="D39" s="5" t="n"/>
      <c r="E39" s="5" t="n"/>
      <c r="F39" s="5" t="n"/>
      <c r="G39" s="5" t="n"/>
      <c r="H39" s="5">
        <f>IF($A39="","",'14.要件×機能行列'!AK$64)</f>
        <v/>
      </c>
      <c r="I39" s="5">
        <f>IF($A39="","",'15.機能×画面行列'!$CD39)</f>
        <v/>
      </c>
      <c r="J39" s="6">
        <f>IF($A39="","",IF($H39=0,"⚠ 要件未紐付",IF($I39=0,"⚠ 画面未紐付","OK")))</f>
        <v/>
      </c>
    </row>
    <row r="40" ht="16.5" customHeight="1">
      <c r="A40" s="5" t="n"/>
      <c r="B40" s="8" t="n"/>
      <c r="C40" s="8" t="n"/>
      <c r="D40" s="5" t="n"/>
      <c r="E40" s="5" t="n"/>
      <c r="F40" s="5" t="n"/>
      <c r="G40" s="5" t="n"/>
      <c r="H40" s="5">
        <f>IF($A40="","",'14.要件×機能行列'!AL$64)</f>
        <v/>
      </c>
      <c r="I40" s="5">
        <f>IF($A40="","",'15.機能×画面行列'!$CD40)</f>
        <v/>
      </c>
      <c r="J40" s="6">
        <f>IF($A40="","",IF($H40=0,"⚠ 要件未紐付",IF($I40=0,"⚠ 画面未紐付","OK")))</f>
        <v/>
      </c>
    </row>
    <row r="41" ht="16.5" customHeight="1">
      <c r="A41" s="5" t="n"/>
      <c r="B41" s="8" t="n"/>
      <c r="C41" s="8" t="n"/>
      <c r="D41" s="5" t="n"/>
      <c r="E41" s="5" t="n"/>
      <c r="F41" s="5" t="n"/>
      <c r="G41" s="5" t="n"/>
      <c r="H41" s="5">
        <f>IF($A41="","",'14.要件×機能行列'!AM$64)</f>
        <v/>
      </c>
      <c r="I41" s="5">
        <f>IF($A41="","",'15.機能×画面行列'!$CD41)</f>
        <v/>
      </c>
      <c r="J41" s="6">
        <f>IF($A41="","",IF($H41=0,"⚠ 要件未紐付",IF($I41=0,"⚠ 画面未紐付","OK")))</f>
        <v/>
      </c>
    </row>
    <row r="42" ht="16.5" customHeight="1">
      <c r="A42" s="5" t="n"/>
      <c r="B42" s="8" t="n"/>
      <c r="C42" s="8" t="n"/>
      <c r="D42" s="5" t="n"/>
      <c r="E42" s="5" t="n"/>
      <c r="F42" s="5" t="n"/>
      <c r="G42" s="5" t="n"/>
      <c r="H42" s="5">
        <f>IF($A42="","",'14.要件×機能行列'!AN$64)</f>
        <v/>
      </c>
      <c r="I42" s="5">
        <f>IF($A42="","",'15.機能×画面行列'!$CD42)</f>
        <v/>
      </c>
      <c r="J42" s="6">
        <f>IF($A42="","",IF($H42=0,"⚠ 要件未紐付",IF($I42=0,"⚠ 画面未紐付","OK")))</f>
        <v/>
      </c>
    </row>
    <row r="43" ht="16.5" customHeight="1">
      <c r="A43" s="5" t="n"/>
      <c r="B43" s="8" t="n"/>
      <c r="C43" s="8" t="n"/>
      <c r="D43" s="5" t="n"/>
      <c r="E43" s="5" t="n"/>
      <c r="F43" s="5" t="n"/>
      <c r="G43" s="5" t="n"/>
      <c r="H43" s="5">
        <f>IF($A43="","",'14.要件×機能行列'!AO$64)</f>
        <v/>
      </c>
      <c r="I43" s="5">
        <f>IF($A43="","",'15.機能×画面行列'!$CD43)</f>
        <v/>
      </c>
      <c r="J43" s="6">
        <f>IF($A43="","",IF($H43=0,"⚠ 要件未紐付",IF($I43=0,"⚠ 画面未紐付","OK")))</f>
        <v/>
      </c>
    </row>
    <row r="44" ht="16.5" customHeight="1">
      <c r="A44" s="5" t="n"/>
      <c r="B44" s="8" t="n"/>
      <c r="C44" s="8" t="n"/>
      <c r="D44" s="5" t="n"/>
      <c r="E44" s="5" t="n"/>
      <c r="F44" s="5" t="n"/>
      <c r="G44" s="5" t="n"/>
      <c r="H44" s="5">
        <f>IF($A44="","",'14.要件×機能行列'!AP$64)</f>
        <v/>
      </c>
      <c r="I44" s="5">
        <f>IF($A44="","",'15.機能×画面行列'!$CD44)</f>
        <v/>
      </c>
      <c r="J44" s="6">
        <f>IF($A44="","",IF($H44=0,"⚠ 要件未紐付",IF($I44=0,"⚠ 画面未紐付","OK")))</f>
        <v/>
      </c>
    </row>
    <row r="45" ht="16.5" customHeight="1">
      <c r="A45" s="5" t="n"/>
      <c r="B45" s="8" t="n"/>
      <c r="C45" s="8" t="n"/>
      <c r="D45" s="5" t="n"/>
      <c r="E45" s="5" t="n"/>
      <c r="F45" s="5" t="n"/>
      <c r="G45" s="5" t="n"/>
      <c r="H45" s="5">
        <f>IF($A45="","",'14.要件×機能行列'!AQ$64)</f>
        <v/>
      </c>
      <c r="I45" s="5">
        <f>IF($A45="","",'15.機能×画面行列'!$CD45)</f>
        <v/>
      </c>
      <c r="J45" s="6">
        <f>IF($A45="","",IF($H45=0,"⚠ 要件未紐付",IF($I45=0,"⚠ 画面未紐付","OK")))</f>
        <v/>
      </c>
    </row>
    <row r="46" ht="16.5" customHeight="1">
      <c r="A46" s="5" t="n"/>
      <c r="B46" s="8" t="n"/>
      <c r="C46" s="8" t="n"/>
      <c r="D46" s="5" t="n"/>
      <c r="E46" s="5" t="n"/>
      <c r="F46" s="5" t="n"/>
      <c r="G46" s="5" t="n"/>
      <c r="H46" s="5">
        <f>IF($A46="","",'14.要件×機能行列'!AR$64)</f>
        <v/>
      </c>
      <c r="I46" s="5">
        <f>IF($A46="","",'15.機能×画面行列'!$CD46)</f>
        <v/>
      </c>
      <c r="J46" s="6">
        <f>IF($A46="","",IF($H46=0,"⚠ 要件未紐付",IF($I46=0,"⚠ 画面未紐付","OK")))</f>
        <v/>
      </c>
    </row>
    <row r="47" ht="16.5" customHeight="1">
      <c r="A47" s="5" t="n"/>
      <c r="B47" s="8" t="n"/>
      <c r="C47" s="8" t="n"/>
      <c r="D47" s="5" t="n"/>
      <c r="E47" s="5" t="n"/>
      <c r="F47" s="5" t="n"/>
      <c r="G47" s="5" t="n"/>
      <c r="H47" s="5">
        <f>IF($A47="","",'14.要件×機能行列'!AS$64)</f>
        <v/>
      </c>
      <c r="I47" s="5">
        <f>IF($A47="","",'15.機能×画面行列'!$CD47)</f>
        <v/>
      </c>
      <c r="J47" s="6">
        <f>IF($A47="","",IF($H47=0,"⚠ 要件未紐付",IF($I47=0,"⚠ 画面未紐付","OK")))</f>
        <v/>
      </c>
    </row>
    <row r="48" ht="16.5" customHeight="1">
      <c r="A48" s="5" t="n"/>
      <c r="B48" s="8" t="n"/>
      <c r="C48" s="8" t="n"/>
      <c r="D48" s="5" t="n"/>
      <c r="E48" s="5" t="n"/>
      <c r="F48" s="5" t="n"/>
      <c r="G48" s="5" t="n"/>
      <c r="H48" s="5">
        <f>IF($A48="","",'14.要件×機能行列'!AT$64)</f>
        <v/>
      </c>
      <c r="I48" s="5">
        <f>IF($A48="","",'15.機能×画面行列'!$CD48)</f>
        <v/>
      </c>
      <c r="J48" s="6">
        <f>IF($A48="","",IF($H48=0,"⚠ 要件未紐付",IF($I48=0,"⚠ 画面未紐付","OK")))</f>
        <v/>
      </c>
    </row>
    <row r="49" ht="16.5" customHeight="1">
      <c r="A49" s="5" t="n"/>
      <c r="B49" s="8" t="n"/>
      <c r="C49" s="8" t="n"/>
      <c r="D49" s="5" t="n"/>
      <c r="E49" s="5" t="n"/>
      <c r="F49" s="5" t="n"/>
      <c r="G49" s="5" t="n"/>
      <c r="H49" s="5">
        <f>IF($A49="","",'14.要件×機能行列'!AU$64)</f>
        <v/>
      </c>
      <c r="I49" s="5">
        <f>IF($A49="","",'15.機能×画面行列'!$CD49)</f>
        <v/>
      </c>
      <c r="J49" s="6">
        <f>IF($A49="","",IF($H49=0,"⚠ 要件未紐付",IF($I49=0,"⚠ 画面未紐付","OK")))</f>
        <v/>
      </c>
    </row>
    <row r="50" ht="16.5" customHeight="1">
      <c r="A50" s="5" t="n"/>
      <c r="B50" s="8" t="n"/>
      <c r="C50" s="8" t="n"/>
      <c r="D50" s="5" t="n"/>
      <c r="E50" s="5" t="n"/>
      <c r="F50" s="5" t="n"/>
      <c r="G50" s="5" t="n"/>
      <c r="H50" s="5">
        <f>IF($A50="","",'14.要件×機能行列'!AV$64)</f>
        <v/>
      </c>
      <c r="I50" s="5">
        <f>IF($A50="","",'15.機能×画面行列'!$CD50)</f>
        <v/>
      </c>
      <c r="J50" s="6">
        <f>IF($A50="","",IF($H50=0,"⚠ 要件未紐付",IF($I50=0,"⚠ 画面未紐付","OK")))</f>
        <v/>
      </c>
    </row>
    <row r="51" ht="16.5" customHeight="1">
      <c r="A51" s="5" t="n"/>
      <c r="B51" s="8" t="n"/>
      <c r="C51" s="8" t="n"/>
      <c r="D51" s="5" t="n"/>
      <c r="E51" s="5" t="n"/>
      <c r="F51" s="5" t="n"/>
      <c r="G51" s="5" t="n"/>
      <c r="H51" s="5">
        <f>IF($A51="","",'14.要件×機能行列'!AW$64)</f>
        <v/>
      </c>
      <c r="I51" s="5">
        <f>IF($A51="","",'15.機能×画面行列'!$CD51)</f>
        <v/>
      </c>
      <c r="J51" s="6">
        <f>IF($A51="","",IF($H51=0,"⚠ 要件未紐付",IF($I51=0,"⚠ 画面未紐付","OK")))</f>
        <v/>
      </c>
    </row>
    <row r="52" ht="16.5" customHeight="1">
      <c r="A52" s="5" t="n"/>
      <c r="B52" s="8" t="n"/>
      <c r="C52" s="8" t="n"/>
      <c r="D52" s="5" t="n"/>
      <c r="E52" s="5" t="n"/>
      <c r="F52" s="5" t="n"/>
      <c r="G52" s="5" t="n"/>
      <c r="H52" s="5">
        <f>IF($A52="","",'14.要件×機能行列'!AX$64)</f>
        <v/>
      </c>
      <c r="I52" s="5">
        <f>IF($A52="","",'15.機能×画面行列'!$CD52)</f>
        <v/>
      </c>
      <c r="J52" s="6">
        <f>IF($A52="","",IF($H52=0,"⚠ 要件未紐付",IF($I52=0,"⚠ 画面未紐付","OK")))</f>
        <v/>
      </c>
    </row>
    <row r="53" ht="16.5" customHeight="1">
      <c r="A53" s="5" t="n"/>
      <c r="B53" s="8" t="n"/>
      <c r="C53" s="8" t="n"/>
      <c r="D53" s="5" t="n"/>
      <c r="E53" s="5" t="n"/>
      <c r="F53" s="5" t="n"/>
      <c r="G53" s="5" t="n"/>
      <c r="H53" s="5">
        <f>IF($A53="","",'14.要件×機能行列'!AY$64)</f>
        <v/>
      </c>
      <c r="I53" s="5">
        <f>IF($A53="","",'15.機能×画面行列'!$CD53)</f>
        <v/>
      </c>
      <c r="J53" s="6">
        <f>IF($A53="","",IF($H53=0,"⚠ 要件未紐付",IF($I53=0,"⚠ 画面未紐付","OK")))</f>
        <v/>
      </c>
    </row>
    <row r="54" ht="16.5" customHeight="1">
      <c r="A54" s="5" t="n"/>
      <c r="B54" s="8" t="n"/>
      <c r="C54" s="8" t="n"/>
      <c r="D54" s="5" t="n"/>
      <c r="E54" s="5" t="n"/>
      <c r="F54" s="5" t="n"/>
      <c r="G54" s="5" t="n"/>
      <c r="H54" s="5">
        <f>IF($A54="","",'14.要件×機能行列'!AZ$64)</f>
        <v/>
      </c>
      <c r="I54" s="5">
        <f>IF($A54="","",'15.機能×画面行列'!$CD54)</f>
        <v/>
      </c>
      <c r="J54" s="6">
        <f>IF($A54="","",IF($H54=0,"⚠ 要件未紐付",IF($I54=0,"⚠ 画面未紐付","OK")))</f>
        <v/>
      </c>
    </row>
    <row r="55" ht="16.5" customHeight="1">
      <c r="A55" s="5" t="n"/>
      <c r="B55" s="8" t="n"/>
      <c r="C55" s="8" t="n"/>
      <c r="D55" s="5" t="n"/>
      <c r="E55" s="5" t="n"/>
      <c r="F55" s="5" t="n"/>
      <c r="G55" s="5" t="n"/>
      <c r="H55" s="5">
        <f>IF($A55="","",'14.要件×機能行列'!BA$64)</f>
        <v/>
      </c>
      <c r="I55" s="5">
        <f>IF($A55="","",'15.機能×画面行列'!$CD55)</f>
        <v/>
      </c>
      <c r="J55" s="6">
        <f>IF($A55="","",IF($H55=0,"⚠ 要件未紐付",IF($I55=0,"⚠ 画面未紐付","OK")))</f>
        <v/>
      </c>
    </row>
    <row r="56" ht="16.5" customHeight="1">
      <c r="A56" s="5" t="n"/>
      <c r="B56" s="8" t="n"/>
      <c r="C56" s="8" t="n"/>
      <c r="D56" s="5" t="n"/>
      <c r="E56" s="5" t="n"/>
      <c r="F56" s="5" t="n"/>
      <c r="G56" s="5" t="n"/>
      <c r="H56" s="5">
        <f>IF($A56="","",'14.要件×機能行列'!BB$64)</f>
        <v/>
      </c>
      <c r="I56" s="5">
        <f>IF($A56="","",'15.機能×画面行列'!$CD56)</f>
        <v/>
      </c>
      <c r="J56" s="6">
        <f>IF($A56="","",IF($H56=0,"⚠ 要件未紐付",IF($I56=0,"⚠ 画面未紐付","OK")))</f>
        <v/>
      </c>
    </row>
    <row r="57" ht="16.5" customHeight="1">
      <c r="A57" s="5" t="n"/>
      <c r="B57" s="8" t="n"/>
      <c r="C57" s="8" t="n"/>
      <c r="D57" s="5" t="n"/>
      <c r="E57" s="5" t="n"/>
      <c r="F57" s="5" t="n"/>
      <c r="G57" s="5" t="n"/>
      <c r="H57" s="5">
        <f>IF($A57="","",'14.要件×機能行列'!BC$64)</f>
        <v/>
      </c>
      <c r="I57" s="5">
        <f>IF($A57="","",'15.機能×画面行列'!$CD57)</f>
        <v/>
      </c>
      <c r="J57" s="6">
        <f>IF($A57="","",IF($H57=0,"⚠ 要件未紐付",IF($I57=0,"⚠ 画面未紐付","OK")))</f>
        <v/>
      </c>
    </row>
    <row r="58" ht="16.5" customHeight="1">
      <c r="A58" s="5" t="n"/>
      <c r="B58" s="8" t="n"/>
      <c r="C58" s="8" t="n"/>
      <c r="D58" s="5" t="n"/>
      <c r="E58" s="5" t="n"/>
      <c r="F58" s="5" t="n"/>
      <c r="G58" s="5" t="n"/>
      <c r="H58" s="5">
        <f>IF($A58="","",'14.要件×機能行列'!BD$64)</f>
        <v/>
      </c>
      <c r="I58" s="5">
        <f>IF($A58="","",'15.機能×画面行列'!$CD58)</f>
        <v/>
      </c>
      <c r="J58" s="6">
        <f>IF($A58="","",IF($H58=0,"⚠ 要件未紐付",IF($I58=0,"⚠ 画面未紐付","OK")))</f>
        <v/>
      </c>
    </row>
    <row r="59" ht="16.5" customHeight="1">
      <c r="A59" s="5" t="n"/>
      <c r="B59" s="8" t="n"/>
      <c r="C59" s="8" t="n"/>
      <c r="D59" s="5" t="n"/>
      <c r="E59" s="5" t="n"/>
      <c r="F59" s="5" t="n"/>
      <c r="G59" s="5" t="n"/>
      <c r="H59" s="5">
        <f>IF($A59="","",'14.要件×機能行列'!BE$64)</f>
        <v/>
      </c>
      <c r="I59" s="5">
        <f>IF($A59="","",'15.機能×画面行列'!$CD59)</f>
        <v/>
      </c>
      <c r="J59" s="6">
        <f>IF($A59="","",IF($H59=0,"⚠ 要件未紐付",IF($I59=0,"⚠ 画面未紐付","OK")))</f>
        <v/>
      </c>
    </row>
    <row r="60" ht="16.5" customHeight="1">
      <c r="A60" s="5" t="n"/>
      <c r="B60" s="8" t="n"/>
      <c r="C60" s="8" t="n"/>
      <c r="D60" s="5" t="n"/>
      <c r="E60" s="5" t="n"/>
      <c r="F60" s="5" t="n"/>
      <c r="G60" s="5" t="n"/>
      <c r="H60" s="5">
        <f>IF($A60="","",'14.要件×機能行列'!BF$64)</f>
        <v/>
      </c>
      <c r="I60" s="5">
        <f>IF($A60="","",'15.機能×画面行列'!$CD60)</f>
        <v/>
      </c>
      <c r="J60" s="6">
        <f>IF($A60="","",IF($H60=0,"⚠ 要件未紐付",IF($I60=0,"⚠ 画面未紐付","OK")))</f>
        <v/>
      </c>
    </row>
    <row r="61" ht="16.5" customHeight="1">
      <c r="A61" s="5" t="n"/>
      <c r="B61" s="8" t="n"/>
      <c r="C61" s="8" t="n"/>
      <c r="D61" s="5" t="n"/>
      <c r="E61" s="5" t="n"/>
      <c r="F61" s="5" t="n"/>
      <c r="G61" s="5" t="n"/>
      <c r="H61" s="5">
        <f>IF($A61="","",'14.要件×機能行列'!BG$64)</f>
        <v/>
      </c>
      <c r="I61" s="5">
        <f>IF($A61="","",'15.機能×画面行列'!$CD61)</f>
        <v/>
      </c>
      <c r="J61" s="6">
        <f>IF($A61="","",IF($H61=0,"⚠ 要件未紐付",IF($I61=0,"⚠ 画面未紐付","OK")))</f>
        <v/>
      </c>
    </row>
    <row r="62" ht="16.5" customHeight="1">
      <c r="A62" s="5" t="n"/>
      <c r="B62" s="8" t="n"/>
      <c r="C62" s="8" t="n"/>
      <c r="D62" s="5" t="n"/>
      <c r="E62" s="5" t="n"/>
      <c r="F62" s="5" t="n"/>
      <c r="G62" s="5" t="n"/>
      <c r="H62" s="5">
        <f>IF($A62="","",'14.要件×機能行列'!BH$64)</f>
        <v/>
      </c>
      <c r="I62" s="5">
        <f>IF($A62="","",'15.機能×画面行列'!$CD62)</f>
        <v/>
      </c>
      <c r="J62" s="6">
        <f>IF($A62="","",IF($H62=0,"⚠ 要件未紐付",IF($I62=0,"⚠ 画面未紐付","OK")))</f>
        <v/>
      </c>
    </row>
    <row r="63" ht="16.5" customHeight="1">
      <c r="A63" s="5" t="n"/>
      <c r="B63" s="8" t="n"/>
      <c r="C63" s="8" t="n"/>
      <c r="D63" s="5" t="n"/>
      <c r="E63" s="5" t="n"/>
      <c r="F63" s="5" t="n"/>
      <c r="G63" s="5" t="n"/>
      <c r="H63" s="5">
        <f>IF($A63="","",'14.要件×機能行列'!BI$64)</f>
        <v/>
      </c>
      <c r="I63" s="5">
        <f>IF($A63="","",'15.機能×画面行列'!$CD63)</f>
        <v/>
      </c>
      <c r="J63" s="6">
        <f>IF($A63="","",IF($H63=0,"⚠ 要件未紐付",IF($I63=0,"⚠ 画面未紐付","OK")))</f>
        <v/>
      </c>
    </row>
  </sheetData>
  <autoFilter ref="A3:J63"/>
  <mergeCells count="2">
    <mergeCell ref="A1:J1"/>
    <mergeCell ref="A2:J2"/>
  </mergeCells>
  <conditionalFormatting sqref="J4:J63">
    <cfRule type="expression" priority="2" dxfId="0">
      <formula>$J4="OK"</formula>
    </cfRule>
  </conditionalFormatting>
  <conditionalFormatting sqref="A4:J63">
    <cfRule type="expression" priority="1" dxfId="1">
      <formula>OR($J4="⚠ 要件未紐付",$J4="⚠ 画面未紐付")</formula>
    </cfRule>
  </conditionalFormatting>
  <dataValidations count="2">
    <dataValidation sqref="F4:F63" showDropDown="0" showInputMessage="0" showErrorMessage="0" allowBlank="1" type="list">
      <formula1>"新規,改修,共通"</formula1>
    </dataValidation>
    <dataValidation sqref="G4:G63" showDropDown="0" showInputMessage="0" showErrorMessage="0" allowBlank="1" type="list">
      <formula1>"Must,Should,Could,Won't,—（対象外）"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5C8A"/>
    <outlinePr summaryBelow="1" summaryRight="1"/>
    <pageSetUpPr/>
  </sheetPr>
  <dimension ref="A1:J83"/>
  <sheetViews>
    <sheetView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F19" sqref="F19"/>
    </sheetView>
  </sheetViews>
  <sheetFormatPr baseColWidth="8" defaultColWidth="9" defaultRowHeight="13.5"/>
  <cols>
    <col width="12" customWidth="1" min="1" max="1"/>
    <col width="24" customWidth="1" min="2" max="2"/>
    <col width="60" customWidth="1" min="3" max="3"/>
    <col width="14" customWidth="1" min="4" max="4"/>
    <col width="20" customWidth="1" min="5" max="5"/>
    <col width="12" customWidth="1" min="6" max="6"/>
    <col width="11" customWidth="1" min="7" max="7"/>
    <col width="14" customWidth="1" min="8" max="8"/>
    <col width="26" customWidth="1" min="9" max="9"/>
    <col width="28.875" customWidth="1" min="10" max="10"/>
  </cols>
  <sheetData>
    <row r="1" ht="26" customHeight="1">
      <c r="A1" s="1" t="inlineStr">
        <is>
          <t>画面一覧</t>
        </is>
      </c>
    </row>
    <row r="2" ht="22" customHeight="1">
      <c r="A2" s="2" t="inlineStr">
        <is>
          <t>弹窗、确认页、错误页也要各给一个 ID，不要并入父画面。G 列由行列自动统计。灰色斜体行为示例数据。出典：BD-04 画面一覧</t>
        </is>
      </c>
    </row>
    <row r="3" ht="30" customHeight="1">
      <c r="A3" s="3" t="inlineStr">
        <is>
          <t>画面 ID</t>
        </is>
      </c>
      <c r="B3" s="3" t="inlineStr">
        <is>
          <t>画面名</t>
        </is>
      </c>
      <c r="C3" s="3" t="inlineStr">
        <is>
          <t>概要</t>
        </is>
      </c>
      <c r="D3" s="3" t="inlineStr">
        <is>
          <t>種別</t>
        </is>
      </c>
      <c r="E3" s="3" t="inlineStr">
        <is>
          <t>対象ロール</t>
        </is>
      </c>
      <c r="F3" s="3" t="inlineStr">
        <is>
          <t>新規/改修</t>
        </is>
      </c>
      <c r="G3" s="3" t="inlineStr">
        <is>
          <t>対応機能数</t>
        </is>
      </c>
      <c r="H3" s="3" t="inlineStr">
        <is>
          <t>判定</t>
        </is>
      </c>
      <c r="I3" s="3" t="inlineStr">
        <is>
          <t>实施状态</t>
        </is>
      </c>
      <c r="J3" s="3" t="inlineStr">
        <is>
          <t>工程</t>
        </is>
      </c>
    </row>
    <row r="4" ht="33" customHeight="1">
      <c r="A4" s="24" t="inlineStr">
        <is>
          <t>S-01</t>
        </is>
      </c>
      <c r="B4" s="25" t="inlineStr">
        <is>
          <t>ログイン</t>
        </is>
      </c>
      <c r="C4" s="25" t="inlineStr">
        <is>
          <t>電話番号＋6 桁認証コードでログインする</t>
        </is>
      </c>
      <c r="D4" s="24" t="inlineStr">
        <is>
          <t>ログイン</t>
        </is>
      </c>
      <c r="E4" s="24" t="inlineStr">
        <is>
          <t>未認証</t>
        </is>
      </c>
      <c r="F4" s="24" t="inlineStr">
        <is>
          <t>既存</t>
        </is>
      </c>
      <c r="G4" s="5">
        <f>IF($A4="","",'15.機能×画面行列'!B$64)</f>
        <v/>
      </c>
      <c r="H4" s="6">
        <f>IF($A4="","",IF($G4="","",IF($G4=0,"⚠ 未割当","OK")))</f>
        <v/>
      </c>
      <c r="I4" t="inlineStr">
        <is>
          <t>✅ 既存実装</t>
        </is>
      </c>
      <c r="J4" t="inlineStr">
        <is>
          <t>既存（実装済）</t>
        </is>
      </c>
    </row>
    <row r="5" ht="33" customHeight="1">
      <c r="A5" s="24" t="inlineStr">
        <is>
          <t>S-02</t>
        </is>
      </c>
      <c r="B5" s="25" t="inlineStr">
        <is>
          <t>登録</t>
        </is>
      </c>
      <c r="C5" s="25" t="inlineStr">
        <is>
          <t>電話番号＋認証コード＋氏名／メールでアカウント登録</t>
        </is>
      </c>
      <c r="D5" s="24" t="inlineStr">
        <is>
          <t>登録</t>
        </is>
      </c>
      <c r="E5" s="24" t="inlineStr">
        <is>
          <t>未認証</t>
        </is>
      </c>
      <c r="F5" s="24" t="inlineStr">
        <is>
          <t>既存</t>
        </is>
      </c>
      <c r="G5" s="5">
        <f>IF($A5="","",'15.機能×画面行列'!C$64)</f>
        <v/>
      </c>
      <c r="H5" s="6">
        <f>IF($A5="","",IF($G5="","",IF($G5=0,"⚠ 未割当","OK")))</f>
        <v/>
      </c>
      <c r="I5" t="inlineStr">
        <is>
          <t>✅ 既存実装</t>
        </is>
      </c>
      <c r="J5" t="inlineStr">
        <is>
          <t>既存（実装済）</t>
        </is>
      </c>
    </row>
    <row r="6" ht="49.5" customHeight="1">
      <c r="A6" s="24" t="inlineStr">
        <is>
          <t>S-03</t>
        </is>
      </c>
      <c r="B6" s="25" t="inlineStr">
        <is>
          <t>予約画面</t>
        </is>
      </c>
      <c r="C6" s="25" t="inlineStr">
        <is>
          <t>サービス・時間枠の選択、予約作成・変更・取消、本人予約リスト（単一ページ）</t>
        </is>
      </c>
      <c r="D6" s="24" t="inlineStr">
        <is>
          <t>ダッシュボード</t>
        </is>
      </c>
      <c r="E6" s="24" t="inlineStr">
        <is>
          <t>顧客（CUSTOMER）専用</t>
        </is>
      </c>
      <c r="F6" s="24" t="inlineStr">
        <is>
          <t>既存</t>
        </is>
      </c>
      <c r="G6" s="5">
        <f>IF($A6="","",'15.機能×画面行列'!D$64)</f>
        <v/>
      </c>
      <c r="H6" s="6">
        <f>IF($A6="","",IF($G6="","",IF($G6=0,"⚠ 未割当","OK")))</f>
        <v/>
      </c>
      <c r="I6" t="inlineStr">
        <is>
          <t>✅ 既存実装</t>
        </is>
      </c>
      <c r="J6" t="inlineStr">
        <is>
          <t>既存（実装済）</t>
        </is>
      </c>
    </row>
    <row r="7" ht="49.5" customHeight="1">
      <c r="A7" s="24" t="inlineStr">
        <is>
          <t>S-04</t>
        </is>
      </c>
      <c r="B7" s="25" t="inlineStr">
        <is>
          <t>管理コンソール</t>
        </is>
      </c>
      <c r="C7" s="25" t="inlineStr">
        <is>
          <t>予約管理・サービス管理・ユーザー管理の 3 タブ（🔵 P0-4 入口ボタン追加予定）</t>
        </is>
      </c>
      <c r="D7" s="24" t="inlineStr">
        <is>
          <t>ダッシュボード</t>
        </is>
      </c>
      <c r="E7" s="24" t="inlineStr">
        <is>
          <t>管理者（ADMIN）</t>
        </is>
      </c>
      <c r="F7" s="24" t="inlineStr">
        <is>
          <t>既存</t>
        </is>
      </c>
      <c r="G7" s="5">
        <f>IF($A7="","",'15.機能×画面行列'!E$64)</f>
        <v/>
      </c>
      <c r="H7" s="6">
        <f>IF($A7="","",IF($G7="","",IF($G7=0,"⚠ 未割当","OK")))</f>
        <v/>
      </c>
      <c r="I7" t="inlineStr">
        <is>
          <t>✅ 既存実装</t>
        </is>
      </c>
      <c r="J7" t="inlineStr">
        <is>
          <t>既存/P0-4（入口ボタン追加）</t>
        </is>
      </c>
    </row>
    <row r="8" ht="33" customHeight="1">
      <c r="A8" s="24" t="inlineStr">
        <is>
          <t>S-05</t>
        </is>
      </c>
      <c r="B8" s="25" t="inlineStr">
        <is>
          <t>アカウント状態提示</t>
        </is>
      </c>
      <c r="C8" s="25" t="inlineStr">
        <is>
          <t>無効化・降格の理由を提示する例外経路画面</t>
        </is>
      </c>
      <c r="D8" s="24" t="inlineStr">
        <is>
          <t>提示</t>
        </is>
      </c>
      <c r="E8" s="24" t="inlineStr">
        <is>
          <t>全ロール</t>
        </is>
      </c>
      <c r="F8" s="24" t="inlineStr">
        <is>
          <t>既存</t>
        </is>
      </c>
      <c r="G8" s="5">
        <f>IF($A8="","",'15.機能×画面行列'!F$64)</f>
        <v/>
      </c>
      <c r="H8" s="6">
        <f>IF($A8="","",IF($G8="","",IF($G8=0,"⚠ 未割当","OK")))</f>
        <v/>
      </c>
      <c r="I8" t="inlineStr">
        <is>
          <t>✅ 既存実装</t>
        </is>
      </c>
      <c r="J8" t="inlineStr">
        <is>
          <t>既存（実装済）</t>
        </is>
      </c>
    </row>
    <row r="9" ht="49.5" customHeight="1">
      <c r="A9" s="24" t="inlineStr">
        <is>
          <t>S-10</t>
        </is>
      </c>
      <c r="B9" s="25" t="inlineStr">
        <is>
          <t>Site ログイン</t>
        </is>
      </c>
      <c r="C9" s="25" t="inlineStr">
        <is>
          <t>外部ユーザー認証情報による独立ログイン（✅ MV-03 検証済み・ログイン部分）</t>
        </is>
      </c>
      <c r="D9" s="24" t="inlineStr">
        <is>
          <t>ログイン</t>
        </is>
      </c>
      <c r="E9" s="24" t="inlineStr">
        <is>
          <t>外部ユーザー（TERM-07）</t>
        </is>
      </c>
      <c r="F9" s="24" t="inlineStr">
        <is>
          <t>既存（P0-1）</t>
        </is>
      </c>
      <c r="G9" s="5">
        <f>IF($A9="","",'15.機能×画面行列'!G$64)</f>
        <v/>
      </c>
      <c r="H9" s="6">
        <f>IF($A9="","",IF($G9="","",IF($G9=0,"⚠ 未割当","OK")))</f>
        <v/>
      </c>
      <c r="I9" t="inlineStr">
        <is>
          <t>✅ 既存（P0-1・ログイン ✅）</t>
        </is>
      </c>
      <c r="J9" t="inlineStr">
        <is>
          <t>P0-1（完了）</t>
        </is>
      </c>
    </row>
    <row r="10" ht="33" customHeight="1">
      <c r="A10" s="24" t="inlineStr">
        <is>
          <t>S-11</t>
        </is>
      </c>
      <c r="B10" s="25" t="inlineStr">
        <is>
          <t>予約投影リスト</t>
        </is>
      </c>
      <c r="C10" s="25" t="inlineStr">
        <is>
          <t>自 Account の投影（読取専用一覧）＋取消ボタンとコマンド状態ポーリング</t>
        </is>
      </c>
      <c r="D10" s="24" t="inlineStr">
        <is>
          <t>一覧</t>
        </is>
      </c>
      <c r="E10" s="24" t="inlineStr">
        <is>
          <t>管理者（外部ユーザー）</t>
        </is>
      </c>
      <c r="F10" s="24" t="inlineStr">
        <is>
          <t>新規（🔵 P0-4 計画）</t>
        </is>
      </c>
      <c r="G10" s="5">
        <f>IF($A10="","",'15.機能×画面行列'!H$64)</f>
        <v/>
      </c>
      <c r="H10" s="6">
        <f>IF($A10="","",IF($G10="","",IF($G10=0,"⚠ 未割当","OK")))</f>
        <v/>
      </c>
      <c r="I10" t="inlineStr">
        <is>
          <t>🔵 P0-4 計画（未実装）</t>
        </is>
      </c>
      <c r="J10" t="inlineStr">
        <is>
          <t>P0-4（新設）</t>
        </is>
      </c>
    </row>
    <row r="11" ht="16.5" customHeight="1">
      <c r="A11" s="24" t="n"/>
      <c r="B11" s="25" t="n"/>
      <c r="C11" s="25" t="n"/>
      <c r="D11" s="24" t="n"/>
      <c r="E11" s="24" t="n"/>
      <c r="F11" s="24" t="n"/>
      <c r="G11" s="5">
        <f>IF($A11="","",'15.機能×画面行列'!I$64)</f>
        <v/>
      </c>
      <c r="H11" s="6">
        <f>IF($A11="","",IF($G11="","",IF($G11=0,"⚠ 未割当","OK")))</f>
        <v/>
      </c>
    </row>
    <row r="12" ht="16.5" customHeight="1">
      <c r="A12" s="24" t="n"/>
      <c r="B12" s="25" t="n"/>
      <c r="C12" s="25" t="n"/>
      <c r="D12" s="24" t="n"/>
      <c r="E12" s="24" t="n"/>
      <c r="F12" s="24" t="n"/>
      <c r="G12" s="5">
        <f>IF($A12="","",'15.機能×画面行列'!J$64)</f>
        <v/>
      </c>
      <c r="H12" s="6">
        <f>IF($A12="","",IF($G12="","",IF($G12=0,"⚠ 未割当","OK")))</f>
        <v/>
      </c>
    </row>
    <row r="13" ht="16.5" customHeight="1">
      <c r="A13" s="24" t="n"/>
      <c r="B13" s="25" t="n"/>
      <c r="C13" s="25" t="n"/>
      <c r="D13" s="24" t="n"/>
      <c r="E13" s="24" t="n"/>
      <c r="F13" s="24" t="n"/>
      <c r="G13" s="5">
        <f>IF($A13="","",'15.機能×画面行列'!K$64)</f>
        <v/>
      </c>
      <c r="H13" s="6">
        <f>IF($A13="","",IF($G13="","",IF($G13=0,"⚠ 未割当","OK")))</f>
        <v/>
      </c>
    </row>
    <row r="14" ht="16.5" customHeight="1">
      <c r="A14" s="24" t="n"/>
      <c r="B14" s="25" t="n"/>
      <c r="C14" s="25" t="n"/>
      <c r="D14" s="24" t="n"/>
      <c r="E14" s="24" t="n"/>
      <c r="F14" s="24" t="n"/>
      <c r="G14" s="5">
        <f>IF($A14="","",'15.機能×画面行列'!L$64)</f>
        <v/>
      </c>
      <c r="H14" s="6">
        <f>IF($A14="","",IF($G14="","",IF($G14=0,"⚠ 未割当","OK")))</f>
        <v/>
      </c>
    </row>
    <row r="15" ht="16.5" customHeight="1">
      <c r="A15" s="24" t="n"/>
      <c r="B15" s="25" t="n"/>
      <c r="C15" s="25" t="n"/>
      <c r="D15" s="24" t="n"/>
      <c r="E15" s="24" t="n"/>
      <c r="F15" s="24" t="n"/>
      <c r="G15" s="5">
        <f>IF($A15="","",'15.機能×画面行列'!M$64)</f>
        <v/>
      </c>
      <c r="H15" s="6">
        <f>IF($A15="","",IF($G15="","",IF($G15=0,"⚠ 未割当","OK")))</f>
        <v/>
      </c>
    </row>
    <row r="16" ht="16.5" customHeight="1">
      <c r="A16" s="5" t="n"/>
      <c r="B16" s="8" t="n"/>
      <c r="C16" s="8" t="n"/>
      <c r="D16" s="5" t="n"/>
      <c r="E16" s="5" t="n"/>
      <c r="F16" s="5" t="n"/>
      <c r="G16" s="5">
        <f>IF($A16="","",'15.機能×画面行列'!N$64)</f>
        <v/>
      </c>
      <c r="H16" s="6">
        <f>IF($A16="","",IF($G16="","",IF($G16=0,"⚠ 未割当","OK")))</f>
        <v/>
      </c>
    </row>
    <row r="17" ht="16.5" customHeight="1">
      <c r="A17" s="5" t="n"/>
      <c r="B17" s="8" t="n"/>
      <c r="C17" s="8" t="n"/>
      <c r="D17" s="5" t="n"/>
      <c r="E17" s="5" t="n"/>
      <c r="F17" s="5" t="n"/>
      <c r="G17" s="5">
        <f>IF($A17="","",'15.機能×画面行列'!O$64)</f>
        <v/>
      </c>
      <c r="H17" s="6">
        <f>IF($A17="","",IF($G17="","",IF($G17=0,"⚠ 未割当","OK")))</f>
        <v/>
      </c>
    </row>
    <row r="18" ht="16.5" customHeight="1">
      <c r="A18" s="5" t="n"/>
      <c r="B18" s="8" t="n"/>
      <c r="C18" s="8" t="n"/>
      <c r="D18" s="5" t="n"/>
      <c r="E18" s="5" t="n"/>
      <c r="F18" s="5" t="n"/>
      <c r="G18" s="5">
        <f>IF($A18="","",'15.機能×画面行列'!P$64)</f>
        <v/>
      </c>
      <c r="H18" s="6">
        <f>IF($A18="","",IF($G18="","",IF($G18=0,"⚠ 未割当","OK")))</f>
        <v/>
      </c>
    </row>
    <row r="19" ht="16.5" customHeight="1">
      <c r="A19" s="5" t="n"/>
      <c r="B19" s="8" t="n"/>
      <c r="C19" s="8" t="n"/>
      <c r="D19" s="5" t="n"/>
      <c r="E19" s="5" t="n"/>
      <c r="F19" s="5" t="n"/>
      <c r="G19" s="5">
        <f>IF($A19="","",'15.機能×画面行列'!Q$64)</f>
        <v/>
      </c>
      <c r="H19" s="6">
        <f>IF($A19="","",IF($G19="","",IF($G19=0,"⚠ 未割当","OK")))</f>
        <v/>
      </c>
    </row>
    <row r="20" ht="16.5" customHeight="1">
      <c r="A20" s="5" t="n"/>
      <c r="B20" s="8" t="n"/>
      <c r="C20" s="8" t="n"/>
      <c r="D20" s="5" t="n"/>
      <c r="E20" s="5" t="n"/>
      <c r="F20" s="5" t="n"/>
      <c r="G20" s="5">
        <f>IF($A20="","",'15.機能×画面行列'!R$64)</f>
        <v/>
      </c>
      <c r="H20" s="6">
        <f>IF($A20="","",IF($G20="","",IF($G20=0,"⚠ 未割当","OK")))</f>
        <v/>
      </c>
    </row>
    <row r="21" ht="16.5" customHeight="1">
      <c r="A21" s="5" t="n"/>
      <c r="B21" s="8" t="n"/>
      <c r="C21" s="8" t="n"/>
      <c r="D21" s="5" t="n"/>
      <c r="E21" s="5" t="n"/>
      <c r="F21" s="5" t="n"/>
      <c r="G21" s="5">
        <f>IF($A21="","",'15.機能×画面行列'!S$64)</f>
        <v/>
      </c>
      <c r="H21" s="6">
        <f>IF($A21="","",IF($G21="","",IF($G21=0,"⚠ 未割当","OK")))</f>
        <v/>
      </c>
    </row>
    <row r="22" ht="16.5" customHeight="1">
      <c r="A22" s="5" t="n"/>
      <c r="B22" s="8" t="n"/>
      <c r="C22" s="8" t="n"/>
      <c r="D22" s="5" t="n"/>
      <c r="E22" s="5" t="n"/>
      <c r="F22" s="5" t="n"/>
      <c r="G22" s="5">
        <f>IF($A22="","",'15.機能×画面行列'!T$64)</f>
        <v/>
      </c>
      <c r="H22" s="6">
        <f>IF($A22="","",IF($G22="","",IF($G22=0,"⚠ 未割当","OK")))</f>
        <v/>
      </c>
    </row>
    <row r="23" ht="16.5" customHeight="1">
      <c r="A23" s="5" t="n"/>
      <c r="B23" s="8" t="n"/>
      <c r="C23" s="8" t="n"/>
      <c r="D23" s="5" t="n"/>
      <c r="E23" s="5" t="n"/>
      <c r="F23" s="5" t="n"/>
      <c r="G23" s="5">
        <f>IF($A23="","",'15.機能×画面行列'!U$64)</f>
        <v/>
      </c>
      <c r="H23" s="6">
        <f>IF($A23="","",IF($G23="","",IF($G23=0,"⚠ 未割当","OK")))</f>
        <v/>
      </c>
    </row>
    <row r="24" ht="16.5" customHeight="1">
      <c r="A24" s="5" t="n"/>
      <c r="B24" s="8" t="n"/>
      <c r="C24" s="8" t="n"/>
      <c r="D24" s="5" t="n"/>
      <c r="E24" s="5" t="n"/>
      <c r="F24" s="5" t="n"/>
      <c r="G24" s="5">
        <f>IF($A24="","",'15.機能×画面行列'!V$64)</f>
        <v/>
      </c>
      <c r="H24" s="6">
        <f>IF($A24="","",IF($G24="","",IF($G24=0,"⚠ 未割当","OK")))</f>
        <v/>
      </c>
    </row>
    <row r="25" ht="16.5" customHeight="1">
      <c r="A25" s="5" t="n"/>
      <c r="B25" s="8" t="n"/>
      <c r="C25" s="8" t="n"/>
      <c r="D25" s="5" t="n"/>
      <c r="E25" s="5" t="n"/>
      <c r="F25" s="5" t="n"/>
      <c r="G25" s="5">
        <f>IF($A25="","",'15.機能×画面行列'!W$64)</f>
        <v/>
      </c>
      <c r="H25" s="6">
        <f>IF($A25="","",IF($G25="","",IF($G25=0,"⚠ 未割当","OK")))</f>
        <v/>
      </c>
    </row>
    <row r="26" ht="16.5" customHeight="1">
      <c r="A26" s="5" t="n"/>
      <c r="B26" s="8" t="n"/>
      <c r="C26" s="8" t="n"/>
      <c r="D26" s="5" t="n"/>
      <c r="E26" s="5" t="n"/>
      <c r="F26" s="5" t="n"/>
      <c r="G26" s="5">
        <f>IF($A26="","",'15.機能×画面行列'!X$64)</f>
        <v/>
      </c>
      <c r="H26" s="6">
        <f>IF($A26="","",IF($G26="","",IF($G26=0,"⚠ 未割当","OK")))</f>
        <v/>
      </c>
    </row>
    <row r="27" ht="16.5" customHeight="1">
      <c r="A27" s="5" t="n"/>
      <c r="B27" s="8" t="n"/>
      <c r="C27" s="8" t="n"/>
      <c r="D27" s="5" t="n"/>
      <c r="E27" s="5" t="n"/>
      <c r="F27" s="5" t="n"/>
      <c r="G27" s="5">
        <f>IF($A27="","",'15.機能×画面行列'!Y$64)</f>
        <v/>
      </c>
      <c r="H27" s="6">
        <f>IF($A27="","",IF($G27="","",IF($G27=0,"⚠ 未割当","OK")))</f>
        <v/>
      </c>
    </row>
    <row r="28" ht="16.5" customHeight="1">
      <c r="A28" s="5" t="n"/>
      <c r="B28" s="8" t="n"/>
      <c r="C28" s="8" t="n"/>
      <c r="D28" s="5" t="n"/>
      <c r="E28" s="5" t="n"/>
      <c r="F28" s="5" t="n"/>
      <c r="G28" s="5">
        <f>IF($A28="","",'15.機能×画面行列'!Z$64)</f>
        <v/>
      </c>
      <c r="H28" s="6">
        <f>IF($A28="","",IF($G28="","",IF($G28=0,"⚠ 未割当","OK")))</f>
        <v/>
      </c>
    </row>
    <row r="29" ht="16.5" customHeight="1">
      <c r="A29" s="5" t="n"/>
      <c r="B29" s="8" t="n"/>
      <c r="C29" s="8" t="n"/>
      <c r="D29" s="5" t="n"/>
      <c r="E29" s="5" t="n"/>
      <c r="F29" s="5" t="n"/>
      <c r="G29" s="5">
        <f>IF($A29="","",'15.機能×画面行列'!AA$64)</f>
        <v/>
      </c>
      <c r="H29" s="6">
        <f>IF($A29="","",IF($G29="","",IF($G29=0,"⚠ 未割当","OK")))</f>
        <v/>
      </c>
    </row>
    <row r="30" ht="16.5" customHeight="1">
      <c r="A30" s="5" t="n"/>
      <c r="B30" s="8" t="n"/>
      <c r="C30" s="8" t="n"/>
      <c r="D30" s="5" t="n"/>
      <c r="E30" s="5" t="n"/>
      <c r="F30" s="5" t="n"/>
      <c r="G30" s="5">
        <f>IF($A30="","",'15.機能×画面行列'!AB$64)</f>
        <v/>
      </c>
      <c r="H30" s="6">
        <f>IF($A30="","",IF($G30="","",IF($G30=0,"⚠ 未割当","OK")))</f>
        <v/>
      </c>
    </row>
    <row r="31" ht="16.5" customHeight="1">
      <c r="A31" s="5" t="n"/>
      <c r="B31" s="8" t="n"/>
      <c r="C31" s="8" t="n"/>
      <c r="D31" s="5" t="n"/>
      <c r="E31" s="5" t="n"/>
      <c r="F31" s="5" t="n"/>
      <c r="G31" s="5">
        <f>IF($A31="","",'15.機能×画面行列'!AC$64)</f>
        <v/>
      </c>
      <c r="H31" s="6">
        <f>IF($A31="","",IF($G31="","",IF($G31=0,"⚠ 未割当","OK")))</f>
        <v/>
      </c>
    </row>
    <row r="32" ht="16.5" customHeight="1">
      <c r="A32" s="5" t="n"/>
      <c r="B32" s="8" t="n"/>
      <c r="C32" s="8" t="n"/>
      <c r="D32" s="5" t="n"/>
      <c r="E32" s="5" t="n"/>
      <c r="F32" s="5" t="n"/>
      <c r="G32" s="5">
        <f>IF($A32="","",'15.機能×画面行列'!AD$64)</f>
        <v/>
      </c>
      <c r="H32" s="6">
        <f>IF($A32="","",IF($G32="","",IF($G32=0,"⚠ 未割当","OK")))</f>
        <v/>
      </c>
    </row>
    <row r="33" ht="16.5" customHeight="1">
      <c r="A33" s="5" t="n"/>
      <c r="B33" s="8" t="n"/>
      <c r="C33" s="8" t="n"/>
      <c r="D33" s="5" t="n"/>
      <c r="E33" s="5" t="n"/>
      <c r="F33" s="5" t="n"/>
      <c r="G33" s="5">
        <f>IF($A33="","",'15.機能×画面行列'!AE$64)</f>
        <v/>
      </c>
      <c r="H33" s="6">
        <f>IF($A33="","",IF($G33="","",IF($G33=0,"⚠ 未割当","OK")))</f>
        <v/>
      </c>
    </row>
    <row r="34" ht="16.5" customHeight="1">
      <c r="A34" s="5" t="n"/>
      <c r="B34" s="8" t="n"/>
      <c r="C34" s="8" t="n"/>
      <c r="D34" s="5" t="n"/>
      <c r="E34" s="5" t="n"/>
      <c r="F34" s="5" t="n"/>
      <c r="G34" s="5">
        <f>IF($A34="","",'15.機能×画面行列'!AF$64)</f>
        <v/>
      </c>
      <c r="H34" s="6">
        <f>IF($A34="","",IF($G34="","",IF($G34=0,"⚠ 未割当","OK")))</f>
        <v/>
      </c>
    </row>
    <row r="35" ht="16.5" customHeight="1">
      <c r="A35" s="5" t="n"/>
      <c r="B35" s="8" t="n"/>
      <c r="C35" s="8" t="n"/>
      <c r="D35" s="5" t="n"/>
      <c r="E35" s="5" t="n"/>
      <c r="F35" s="5" t="n"/>
      <c r="G35" s="5">
        <f>IF($A35="","",'15.機能×画面行列'!AG$64)</f>
        <v/>
      </c>
      <c r="H35" s="6">
        <f>IF($A35="","",IF($G35="","",IF($G35=0,"⚠ 未割当","OK")))</f>
        <v/>
      </c>
    </row>
    <row r="36" ht="16.5" customHeight="1">
      <c r="A36" s="5" t="n"/>
      <c r="B36" s="8" t="n"/>
      <c r="C36" s="8" t="n"/>
      <c r="D36" s="5" t="n"/>
      <c r="E36" s="5" t="n"/>
      <c r="F36" s="5" t="n"/>
      <c r="G36" s="5">
        <f>IF($A36="","",'15.機能×画面行列'!AH$64)</f>
        <v/>
      </c>
      <c r="H36" s="6">
        <f>IF($A36="","",IF($G36="","",IF($G36=0,"⚠ 未割当","OK")))</f>
        <v/>
      </c>
    </row>
    <row r="37" ht="16.5" customHeight="1">
      <c r="A37" s="5" t="n"/>
      <c r="B37" s="8" t="n"/>
      <c r="C37" s="8" t="n"/>
      <c r="D37" s="5" t="n"/>
      <c r="E37" s="5" t="n"/>
      <c r="F37" s="5" t="n"/>
      <c r="G37" s="5">
        <f>IF($A37="","",'15.機能×画面行列'!AI$64)</f>
        <v/>
      </c>
      <c r="H37" s="6">
        <f>IF($A37="","",IF($G37="","",IF($G37=0,"⚠ 未割当","OK")))</f>
        <v/>
      </c>
    </row>
    <row r="38" ht="16.5" customHeight="1">
      <c r="A38" s="5" t="n"/>
      <c r="B38" s="8" t="n"/>
      <c r="C38" s="8" t="n"/>
      <c r="D38" s="5" t="n"/>
      <c r="E38" s="5" t="n"/>
      <c r="F38" s="5" t="n"/>
      <c r="G38" s="5">
        <f>IF($A38="","",'15.機能×画面行列'!AJ$64)</f>
        <v/>
      </c>
      <c r="H38" s="6">
        <f>IF($A38="","",IF($G38="","",IF($G38=0,"⚠ 未割当","OK")))</f>
        <v/>
      </c>
    </row>
    <row r="39" ht="16.5" customHeight="1">
      <c r="A39" s="5" t="n"/>
      <c r="B39" s="8" t="n"/>
      <c r="C39" s="8" t="n"/>
      <c r="D39" s="5" t="n"/>
      <c r="E39" s="5" t="n"/>
      <c r="F39" s="5" t="n"/>
      <c r="G39" s="5">
        <f>IF($A39="","",'15.機能×画面行列'!AK$64)</f>
        <v/>
      </c>
      <c r="H39" s="6">
        <f>IF($A39="","",IF($G39="","",IF($G39=0,"⚠ 未割当","OK")))</f>
        <v/>
      </c>
    </row>
    <row r="40" ht="16.5" customHeight="1">
      <c r="A40" s="5" t="n"/>
      <c r="B40" s="8" t="n"/>
      <c r="C40" s="8" t="n"/>
      <c r="D40" s="5" t="n"/>
      <c r="E40" s="5" t="n"/>
      <c r="F40" s="5" t="n"/>
      <c r="G40" s="5">
        <f>IF($A40="","",'15.機能×画面行列'!AL$64)</f>
        <v/>
      </c>
      <c r="H40" s="6">
        <f>IF($A40="","",IF($G40="","",IF($G40=0,"⚠ 未割当","OK")))</f>
        <v/>
      </c>
    </row>
    <row r="41" ht="16.5" customHeight="1">
      <c r="A41" s="5" t="n"/>
      <c r="B41" s="8" t="n"/>
      <c r="C41" s="8" t="n"/>
      <c r="D41" s="5" t="n"/>
      <c r="E41" s="5" t="n"/>
      <c r="F41" s="5" t="n"/>
      <c r="G41" s="5">
        <f>IF($A41="","",'15.機能×画面行列'!AM$64)</f>
        <v/>
      </c>
      <c r="H41" s="6">
        <f>IF($A41="","",IF($G41="","",IF($G41=0,"⚠ 未割当","OK")))</f>
        <v/>
      </c>
    </row>
    <row r="42" ht="16.5" customHeight="1">
      <c r="A42" s="5" t="n"/>
      <c r="B42" s="8" t="n"/>
      <c r="C42" s="8" t="n"/>
      <c r="D42" s="5" t="n"/>
      <c r="E42" s="5" t="n"/>
      <c r="F42" s="5" t="n"/>
      <c r="G42" s="5">
        <f>IF($A42="","",'15.機能×画面行列'!AN$64)</f>
        <v/>
      </c>
      <c r="H42" s="6">
        <f>IF($A42="","",IF($G42="","",IF($G42=0,"⚠ 未割当","OK")))</f>
        <v/>
      </c>
    </row>
    <row r="43" ht="16.5" customHeight="1">
      <c r="A43" s="5" t="n"/>
      <c r="B43" s="8" t="n"/>
      <c r="C43" s="8" t="n"/>
      <c r="D43" s="5" t="n"/>
      <c r="E43" s="5" t="n"/>
      <c r="F43" s="5" t="n"/>
      <c r="G43" s="5">
        <f>IF($A43="","",'15.機能×画面行列'!AO$64)</f>
        <v/>
      </c>
      <c r="H43" s="6">
        <f>IF($A43="","",IF($G43="","",IF($G43=0,"⚠ 未割当","OK")))</f>
        <v/>
      </c>
    </row>
    <row r="44" ht="16.5" customHeight="1">
      <c r="A44" s="5" t="n"/>
      <c r="B44" s="8" t="n"/>
      <c r="C44" s="8" t="n"/>
      <c r="D44" s="5" t="n"/>
      <c r="E44" s="5" t="n"/>
      <c r="F44" s="5" t="n"/>
      <c r="G44" s="5">
        <f>IF($A44="","",'15.機能×画面行列'!AP$64)</f>
        <v/>
      </c>
      <c r="H44" s="6">
        <f>IF($A44="","",IF($G44="","",IF($G44=0,"⚠ 未割当","OK")))</f>
        <v/>
      </c>
    </row>
    <row r="45" ht="16.5" customHeight="1">
      <c r="A45" s="5" t="n"/>
      <c r="B45" s="8" t="n"/>
      <c r="C45" s="8" t="n"/>
      <c r="D45" s="5" t="n"/>
      <c r="E45" s="5" t="n"/>
      <c r="F45" s="5" t="n"/>
      <c r="G45" s="5">
        <f>IF($A45="","",'15.機能×画面行列'!AQ$64)</f>
        <v/>
      </c>
      <c r="H45" s="6">
        <f>IF($A45="","",IF($G45="","",IF($G45=0,"⚠ 未割当","OK")))</f>
        <v/>
      </c>
    </row>
    <row r="46" ht="16.5" customHeight="1">
      <c r="A46" s="5" t="n"/>
      <c r="B46" s="8" t="n"/>
      <c r="C46" s="8" t="n"/>
      <c r="D46" s="5" t="n"/>
      <c r="E46" s="5" t="n"/>
      <c r="F46" s="5" t="n"/>
      <c r="G46" s="5">
        <f>IF($A46="","",'15.機能×画面行列'!AR$64)</f>
        <v/>
      </c>
      <c r="H46" s="6">
        <f>IF($A46="","",IF($G46="","",IF($G46=0,"⚠ 未割当","OK")))</f>
        <v/>
      </c>
    </row>
    <row r="47" ht="16.5" customHeight="1">
      <c r="A47" s="5" t="n"/>
      <c r="B47" s="8" t="n"/>
      <c r="C47" s="8" t="n"/>
      <c r="D47" s="5" t="n"/>
      <c r="E47" s="5" t="n"/>
      <c r="F47" s="5" t="n"/>
      <c r="G47" s="5">
        <f>IF($A47="","",'15.機能×画面行列'!AS$64)</f>
        <v/>
      </c>
      <c r="H47" s="6">
        <f>IF($A47="","",IF($G47="","",IF($G47=0,"⚠ 未割当","OK")))</f>
        <v/>
      </c>
    </row>
    <row r="48" ht="16.5" customHeight="1">
      <c r="A48" s="5" t="n"/>
      <c r="B48" s="8" t="n"/>
      <c r="C48" s="8" t="n"/>
      <c r="D48" s="5" t="n"/>
      <c r="E48" s="5" t="n"/>
      <c r="F48" s="5" t="n"/>
      <c r="G48" s="5">
        <f>IF($A48="","",'15.機能×画面行列'!AT$64)</f>
        <v/>
      </c>
      <c r="H48" s="6">
        <f>IF($A48="","",IF($G48="","",IF($G48=0,"⚠ 未割当","OK")))</f>
        <v/>
      </c>
    </row>
    <row r="49" ht="16.5" customHeight="1">
      <c r="A49" s="5" t="n"/>
      <c r="B49" s="8" t="n"/>
      <c r="C49" s="8" t="n"/>
      <c r="D49" s="5" t="n"/>
      <c r="E49" s="5" t="n"/>
      <c r="F49" s="5" t="n"/>
      <c r="G49" s="5">
        <f>IF($A49="","",'15.機能×画面行列'!AU$64)</f>
        <v/>
      </c>
      <c r="H49" s="6">
        <f>IF($A49="","",IF($G49="","",IF($G49=0,"⚠ 未割当","OK")))</f>
        <v/>
      </c>
    </row>
    <row r="50" ht="16.5" customHeight="1">
      <c r="A50" s="5" t="n"/>
      <c r="B50" s="8" t="n"/>
      <c r="C50" s="8" t="n"/>
      <c r="D50" s="5" t="n"/>
      <c r="E50" s="5" t="n"/>
      <c r="F50" s="5" t="n"/>
      <c r="G50" s="5">
        <f>IF($A50="","",'15.機能×画面行列'!AV$64)</f>
        <v/>
      </c>
      <c r="H50" s="6">
        <f>IF($A50="","",IF($G50="","",IF($G50=0,"⚠ 未割当","OK")))</f>
        <v/>
      </c>
    </row>
    <row r="51" ht="16.5" customHeight="1">
      <c r="A51" s="5" t="n"/>
      <c r="B51" s="8" t="n"/>
      <c r="C51" s="8" t="n"/>
      <c r="D51" s="5" t="n"/>
      <c r="E51" s="5" t="n"/>
      <c r="F51" s="5" t="n"/>
      <c r="G51" s="5">
        <f>IF($A51="","",'15.機能×画面行列'!AW$64)</f>
        <v/>
      </c>
      <c r="H51" s="6">
        <f>IF($A51="","",IF($G51="","",IF($G51=0,"⚠ 未割当","OK")))</f>
        <v/>
      </c>
    </row>
    <row r="52" ht="16.5" customHeight="1">
      <c r="A52" s="5" t="n"/>
      <c r="B52" s="8" t="n"/>
      <c r="C52" s="8" t="n"/>
      <c r="D52" s="5" t="n"/>
      <c r="E52" s="5" t="n"/>
      <c r="F52" s="5" t="n"/>
      <c r="G52" s="5">
        <f>IF($A52="","",'15.機能×画面行列'!AX$64)</f>
        <v/>
      </c>
      <c r="H52" s="6">
        <f>IF($A52="","",IF($G52="","",IF($G52=0,"⚠ 未割当","OK")))</f>
        <v/>
      </c>
    </row>
    <row r="53" ht="16.5" customHeight="1">
      <c r="A53" s="5" t="n"/>
      <c r="B53" s="8" t="n"/>
      <c r="C53" s="8" t="n"/>
      <c r="D53" s="5" t="n"/>
      <c r="E53" s="5" t="n"/>
      <c r="F53" s="5" t="n"/>
      <c r="G53" s="5">
        <f>IF($A53="","",'15.機能×画面行列'!AY$64)</f>
        <v/>
      </c>
      <c r="H53" s="6">
        <f>IF($A53="","",IF($G53="","",IF($G53=0,"⚠ 未割当","OK")))</f>
        <v/>
      </c>
    </row>
    <row r="54" ht="16.5" customHeight="1">
      <c r="A54" s="5" t="n"/>
      <c r="B54" s="8" t="n"/>
      <c r="C54" s="8" t="n"/>
      <c r="D54" s="5" t="n"/>
      <c r="E54" s="5" t="n"/>
      <c r="F54" s="5" t="n"/>
      <c r="G54" s="5">
        <f>IF($A54="","",'15.機能×画面行列'!AZ$64)</f>
        <v/>
      </c>
      <c r="H54" s="6">
        <f>IF($A54="","",IF($G54="","",IF($G54=0,"⚠ 未割当","OK")))</f>
        <v/>
      </c>
    </row>
    <row r="55" ht="16.5" customHeight="1">
      <c r="A55" s="5" t="n"/>
      <c r="B55" s="8" t="n"/>
      <c r="C55" s="8" t="n"/>
      <c r="D55" s="5" t="n"/>
      <c r="E55" s="5" t="n"/>
      <c r="F55" s="5" t="n"/>
      <c r="G55" s="5">
        <f>IF($A55="","",'15.機能×画面行列'!BA$64)</f>
        <v/>
      </c>
      <c r="H55" s="6">
        <f>IF($A55="","",IF($G55="","",IF($G55=0,"⚠ 未割当","OK")))</f>
        <v/>
      </c>
    </row>
    <row r="56" ht="16.5" customHeight="1">
      <c r="A56" s="5" t="n"/>
      <c r="B56" s="8" t="n"/>
      <c r="C56" s="8" t="n"/>
      <c r="D56" s="5" t="n"/>
      <c r="E56" s="5" t="n"/>
      <c r="F56" s="5" t="n"/>
      <c r="G56" s="5">
        <f>IF($A56="","",'15.機能×画面行列'!BB$64)</f>
        <v/>
      </c>
      <c r="H56" s="6">
        <f>IF($A56="","",IF($G56="","",IF($G56=0,"⚠ 未割当","OK")))</f>
        <v/>
      </c>
    </row>
    <row r="57" ht="16.5" customHeight="1">
      <c r="A57" s="5" t="n"/>
      <c r="B57" s="8" t="n"/>
      <c r="C57" s="8" t="n"/>
      <c r="D57" s="5" t="n"/>
      <c r="E57" s="5" t="n"/>
      <c r="F57" s="5" t="n"/>
      <c r="G57" s="5">
        <f>IF($A57="","",'15.機能×画面行列'!BC$64)</f>
        <v/>
      </c>
      <c r="H57" s="6">
        <f>IF($A57="","",IF($G57="","",IF($G57=0,"⚠ 未割当","OK")))</f>
        <v/>
      </c>
    </row>
    <row r="58" ht="16.5" customHeight="1">
      <c r="A58" s="5" t="n"/>
      <c r="B58" s="8" t="n"/>
      <c r="C58" s="8" t="n"/>
      <c r="D58" s="5" t="n"/>
      <c r="E58" s="5" t="n"/>
      <c r="F58" s="5" t="n"/>
      <c r="G58" s="5">
        <f>IF($A58="","",'15.機能×画面行列'!BD$64)</f>
        <v/>
      </c>
      <c r="H58" s="6">
        <f>IF($A58="","",IF($G58="","",IF($G58=0,"⚠ 未割当","OK")))</f>
        <v/>
      </c>
    </row>
    <row r="59" ht="16.5" customHeight="1">
      <c r="A59" s="5" t="n"/>
      <c r="B59" s="8" t="n"/>
      <c r="C59" s="8" t="n"/>
      <c r="D59" s="5" t="n"/>
      <c r="E59" s="5" t="n"/>
      <c r="F59" s="5" t="n"/>
      <c r="G59" s="5">
        <f>IF($A59="","",'15.機能×画面行列'!BE$64)</f>
        <v/>
      </c>
      <c r="H59" s="6">
        <f>IF($A59="","",IF($G59="","",IF($G59=0,"⚠ 未割当","OK")))</f>
        <v/>
      </c>
    </row>
    <row r="60" ht="16.5" customHeight="1">
      <c r="A60" s="5" t="n"/>
      <c r="B60" s="8" t="n"/>
      <c r="C60" s="8" t="n"/>
      <c r="D60" s="5" t="n"/>
      <c r="E60" s="5" t="n"/>
      <c r="F60" s="5" t="n"/>
      <c r="G60" s="5">
        <f>IF($A60="","",'15.機能×画面行列'!BF$64)</f>
        <v/>
      </c>
      <c r="H60" s="6">
        <f>IF($A60="","",IF($G60="","",IF($G60=0,"⚠ 未割当","OK")))</f>
        <v/>
      </c>
    </row>
    <row r="61" ht="16.5" customHeight="1">
      <c r="A61" s="5" t="n"/>
      <c r="B61" s="8" t="n"/>
      <c r="C61" s="8" t="n"/>
      <c r="D61" s="5" t="n"/>
      <c r="E61" s="5" t="n"/>
      <c r="F61" s="5" t="n"/>
      <c r="G61" s="5">
        <f>IF($A61="","",'15.機能×画面行列'!BG$64)</f>
        <v/>
      </c>
      <c r="H61" s="6">
        <f>IF($A61="","",IF($G61="","",IF($G61=0,"⚠ 未割当","OK")))</f>
        <v/>
      </c>
    </row>
    <row r="62" ht="16.5" customHeight="1">
      <c r="A62" s="5" t="n"/>
      <c r="B62" s="8" t="n"/>
      <c r="C62" s="8" t="n"/>
      <c r="D62" s="5" t="n"/>
      <c r="E62" s="5" t="n"/>
      <c r="F62" s="5" t="n"/>
      <c r="G62" s="5">
        <f>IF($A62="","",'15.機能×画面行列'!BH$64)</f>
        <v/>
      </c>
      <c r="H62" s="6">
        <f>IF($A62="","",IF($G62="","",IF($G62=0,"⚠ 未割当","OK")))</f>
        <v/>
      </c>
    </row>
    <row r="63" ht="16.5" customHeight="1">
      <c r="A63" s="5" t="n"/>
      <c r="B63" s="8" t="n"/>
      <c r="C63" s="8" t="n"/>
      <c r="D63" s="5" t="n"/>
      <c r="E63" s="5" t="n"/>
      <c r="F63" s="5" t="n"/>
      <c r="G63" s="5">
        <f>IF($A63="","",'15.機能×画面行列'!BI$64)</f>
        <v/>
      </c>
      <c r="H63" s="6">
        <f>IF($A63="","",IF($G63="","",IF($G63=0,"⚠ 未割当","OK")))</f>
        <v/>
      </c>
    </row>
    <row r="64" ht="16.5" customHeight="1">
      <c r="A64" s="5" t="n"/>
      <c r="B64" s="8" t="n"/>
      <c r="C64" s="8" t="n"/>
      <c r="D64" s="5" t="n"/>
      <c r="E64" s="5" t="n"/>
      <c r="F64" s="5" t="n"/>
      <c r="G64" s="5">
        <f>IF($A64="","",'15.機能×画面行列'!BJ$64)</f>
        <v/>
      </c>
      <c r="H64" s="6">
        <f>IF($A64="","",IF($G64="","",IF($G64=0,"⚠ 未割当","OK")))</f>
        <v/>
      </c>
    </row>
    <row r="65" ht="16.5" customHeight="1">
      <c r="A65" s="5" t="n"/>
      <c r="B65" s="8" t="n"/>
      <c r="C65" s="8" t="n"/>
      <c r="D65" s="5" t="n"/>
      <c r="E65" s="5" t="n"/>
      <c r="F65" s="5" t="n"/>
      <c r="G65" s="5">
        <f>IF($A65="","",'15.機能×画面行列'!BK$64)</f>
        <v/>
      </c>
      <c r="H65" s="6">
        <f>IF($A65="","",IF($G65="","",IF($G65=0,"⚠ 未割当","OK")))</f>
        <v/>
      </c>
    </row>
    <row r="66" ht="16.5" customHeight="1">
      <c r="A66" s="5" t="n"/>
      <c r="B66" s="8" t="n"/>
      <c r="C66" s="8" t="n"/>
      <c r="D66" s="5" t="n"/>
      <c r="E66" s="5" t="n"/>
      <c r="F66" s="5" t="n"/>
      <c r="G66" s="5">
        <f>IF($A66="","",'15.機能×画面行列'!BL$64)</f>
        <v/>
      </c>
      <c r="H66" s="6">
        <f>IF($A66="","",IF($G66="","",IF($G66=0,"⚠ 未割当","OK")))</f>
        <v/>
      </c>
    </row>
    <row r="67" ht="16.5" customHeight="1">
      <c r="A67" s="5" t="n"/>
      <c r="B67" s="8" t="n"/>
      <c r="C67" s="8" t="n"/>
      <c r="D67" s="5" t="n"/>
      <c r="E67" s="5" t="n"/>
      <c r="F67" s="5" t="n"/>
      <c r="G67" s="5">
        <f>IF($A67="","",'15.機能×画面行列'!BM$64)</f>
        <v/>
      </c>
      <c r="H67" s="6">
        <f>IF($A67="","",IF($G67="","",IF($G67=0,"⚠ 未割当","OK")))</f>
        <v/>
      </c>
    </row>
    <row r="68" ht="16.5" customHeight="1">
      <c r="A68" s="5" t="n"/>
      <c r="B68" s="8" t="n"/>
      <c r="C68" s="8" t="n"/>
      <c r="D68" s="5" t="n"/>
      <c r="E68" s="5" t="n"/>
      <c r="F68" s="5" t="n"/>
      <c r="G68" s="5">
        <f>IF($A68="","",'15.機能×画面行列'!BN$64)</f>
        <v/>
      </c>
      <c r="H68" s="6">
        <f>IF($A68="","",IF($G68="","",IF($G68=0,"⚠ 未割当","OK")))</f>
        <v/>
      </c>
    </row>
    <row r="69" ht="16.5" customHeight="1">
      <c r="A69" s="5" t="n"/>
      <c r="B69" s="8" t="n"/>
      <c r="C69" s="8" t="n"/>
      <c r="D69" s="5" t="n"/>
      <c r="E69" s="5" t="n"/>
      <c r="F69" s="5" t="n"/>
      <c r="G69" s="5">
        <f>IF($A69="","",'15.機能×画面行列'!BO$64)</f>
        <v/>
      </c>
      <c r="H69" s="6">
        <f>IF($A69="","",IF($G69="","",IF($G69=0,"⚠ 未割当","OK")))</f>
        <v/>
      </c>
    </row>
    <row r="70" ht="16.5" customHeight="1">
      <c r="A70" s="5" t="n"/>
      <c r="B70" s="8" t="n"/>
      <c r="C70" s="8" t="n"/>
      <c r="D70" s="5" t="n"/>
      <c r="E70" s="5" t="n"/>
      <c r="F70" s="5" t="n"/>
      <c r="G70" s="5">
        <f>IF($A70="","",'15.機能×画面行列'!BP$64)</f>
        <v/>
      </c>
      <c r="H70" s="6">
        <f>IF($A70="","",IF($G70="","",IF($G70=0,"⚠ 未割当","OK")))</f>
        <v/>
      </c>
    </row>
    <row r="71" ht="16.5" customHeight="1">
      <c r="A71" s="5" t="n"/>
      <c r="B71" s="8" t="n"/>
      <c r="C71" s="8" t="n"/>
      <c r="D71" s="5" t="n"/>
      <c r="E71" s="5" t="n"/>
      <c r="F71" s="5" t="n"/>
      <c r="G71" s="5">
        <f>IF($A71="","",'15.機能×画面行列'!BQ$64)</f>
        <v/>
      </c>
      <c r="H71" s="6">
        <f>IF($A71="","",IF($G71="","",IF($G71=0,"⚠ 未割当","OK")))</f>
        <v/>
      </c>
    </row>
    <row r="72" ht="16.5" customHeight="1">
      <c r="A72" s="5" t="n"/>
      <c r="B72" s="8" t="n"/>
      <c r="C72" s="8" t="n"/>
      <c r="D72" s="5" t="n"/>
      <c r="E72" s="5" t="n"/>
      <c r="F72" s="5" t="n"/>
      <c r="G72" s="5">
        <f>IF($A72="","",'15.機能×画面行列'!BR$64)</f>
        <v/>
      </c>
      <c r="H72" s="6">
        <f>IF($A72="","",IF($G72="","",IF($G72=0,"⚠ 未割当","OK")))</f>
        <v/>
      </c>
    </row>
    <row r="73" ht="16.5" customHeight="1">
      <c r="A73" s="5" t="n"/>
      <c r="B73" s="8" t="n"/>
      <c r="C73" s="8" t="n"/>
      <c r="D73" s="5" t="n"/>
      <c r="E73" s="5" t="n"/>
      <c r="F73" s="5" t="n"/>
      <c r="G73" s="5">
        <f>IF($A73="","",'15.機能×画面行列'!BS$64)</f>
        <v/>
      </c>
      <c r="H73" s="6">
        <f>IF($A73="","",IF($G73="","",IF($G73=0,"⚠ 未割当","OK")))</f>
        <v/>
      </c>
    </row>
    <row r="74" ht="16.5" customHeight="1">
      <c r="A74" s="5" t="n"/>
      <c r="B74" s="8" t="n"/>
      <c r="C74" s="8" t="n"/>
      <c r="D74" s="5" t="n"/>
      <c r="E74" s="5" t="n"/>
      <c r="F74" s="5" t="n"/>
      <c r="G74" s="5">
        <f>IF($A74="","",'15.機能×画面行列'!BT$64)</f>
        <v/>
      </c>
      <c r="H74" s="6">
        <f>IF($A74="","",IF($G74="","",IF($G74=0,"⚠ 未割当","OK")))</f>
        <v/>
      </c>
    </row>
    <row r="75" ht="16.5" customHeight="1">
      <c r="A75" s="5" t="n"/>
      <c r="B75" s="8" t="n"/>
      <c r="C75" s="8" t="n"/>
      <c r="D75" s="5" t="n"/>
      <c r="E75" s="5" t="n"/>
      <c r="F75" s="5" t="n"/>
      <c r="G75" s="5">
        <f>IF($A75="","",'15.機能×画面行列'!BU$64)</f>
        <v/>
      </c>
      <c r="H75" s="6">
        <f>IF($A75="","",IF($G75="","",IF($G75=0,"⚠ 未割当","OK")))</f>
        <v/>
      </c>
    </row>
    <row r="76" ht="16.5" customHeight="1">
      <c r="A76" s="5" t="n"/>
      <c r="B76" s="8" t="n"/>
      <c r="C76" s="8" t="n"/>
      <c r="D76" s="5" t="n"/>
      <c r="E76" s="5" t="n"/>
      <c r="F76" s="5" t="n"/>
      <c r="G76" s="5">
        <f>IF($A76="","",'15.機能×画面行列'!BV$64)</f>
        <v/>
      </c>
      <c r="H76" s="6">
        <f>IF($A76="","",IF($G76="","",IF($G76=0,"⚠ 未割当","OK")))</f>
        <v/>
      </c>
    </row>
    <row r="77" ht="16.5" customHeight="1">
      <c r="A77" s="5" t="n"/>
      <c r="B77" s="8" t="n"/>
      <c r="C77" s="8" t="n"/>
      <c r="D77" s="5" t="n"/>
      <c r="E77" s="5" t="n"/>
      <c r="F77" s="5" t="n"/>
      <c r="G77" s="5">
        <f>IF($A77="","",'15.機能×画面行列'!BW$64)</f>
        <v/>
      </c>
      <c r="H77" s="6">
        <f>IF($A77="","",IF($G77="","",IF($G77=0,"⚠ 未割当","OK")))</f>
        <v/>
      </c>
    </row>
    <row r="78" ht="16.5" customHeight="1">
      <c r="A78" s="5" t="n"/>
      <c r="B78" s="8" t="n"/>
      <c r="C78" s="8" t="n"/>
      <c r="D78" s="5" t="n"/>
      <c r="E78" s="5" t="n"/>
      <c r="F78" s="5" t="n"/>
      <c r="G78" s="5">
        <f>IF($A78="","",'15.機能×画面行列'!BX$64)</f>
        <v/>
      </c>
      <c r="H78" s="6">
        <f>IF($A78="","",IF($G78="","",IF($G78=0,"⚠ 未割当","OK")))</f>
        <v/>
      </c>
    </row>
    <row r="79" ht="16.5" customHeight="1">
      <c r="A79" s="5" t="n"/>
      <c r="B79" s="8" t="n"/>
      <c r="C79" s="8" t="n"/>
      <c r="D79" s="5" t="n"/>
      <c r="E79" s="5" t="n"/>
      <c r="F79" s="5" t="n"/>
      <c r="G79" s="5">
        <f>IF($A79="","",'15.機能×画面行列'!BY$64)</f>
        <v/>
      </c>
      <c r="H79" s="6">
        <f>IF($A79="","",IF($G79="","",IF($G79=0,"⚠ 未割当","OK")))</f>
        <v/>
      </c>
    </row>
    <row r="80" ht="16.5" customHeight="1">
      <c r="A80" s="5" t="n"/>
      <c r="B80" s="8" t="n"/>
      <c r="C80" s="8" t="n"/>
      <c r="D80" s="5" t="n"/>
      <c r="E80" s="5" t="n"/>
      <c r="F80" s="5" t="n"/>
      <c r="G80" s="5">
        <f>IF($A80="","",'15.機能×画面行列'!BZ$64)</f>
        <v/>
      </c>
      <c r="H80" s="6">
        <f>IF($A80="","",IF($G80="","",IF($G80=0,"⚠ 未割当","OK")))</f>
        <v/>
      </c>
    </row>
    <row r="81" ht="16.5" customHeight="1">
      <c r="A81" s="5" t="n"/>
      <c r="B81" s="8" t="n"/>
      <c r="C81" s="8" t="n"/>
      <c r="D81" s="5" t="n"/>
      <c r="E81" s="5" t="n"/>
      <c r="F81" s="5" t="n"/>
      <c r="G81" s="5">
        <f>IF($A81="","",'15.機能×画面行列'!CA$64)</f>
        <v/>
      </c>
      <c r="H81" s="6">
        <f>IF($A81="","",IF($G81="","",IF($G81=0,"⚠ 未割当","OK")))</f>
        <v/>
      </c>
    </row>
    <row r="82" ht="16.5" customHeight="1">
      <c r="A82" s="5" t="n"/>
      <c r="B82" s="8" t="n"/>
      <c r="C82" s="8" t="n"/>
      <c r="D82" s="5" t="n"/>
      <c r="E82" s="5" t="n"/>
      <c r="F82" s="5" t="n"/>
      <c r="G82" s="5">
        <f>IF($A82="","",'15.機能×画面行列'!CB$64)</f>
        <v/>
      </c>
      <c r="H82" s="6">
        <f>IF($A82="","",IF($G82="","",IF($G82=0,"⚠ 未割当","OK")))</f>
        <v/>
      </c>
    </row>
    <row r="83" ht="16.5" customHeight="1">
      <c r="A83" s="5" t="n"/>
      <c r="B83" s="8" t="n"/>
      <c r="C83" s="8" t="n"/>
      <c r="D83" s="5" t="n"/>
      <c r="E83" s="5" t="n"/>
      <c r="F83" s="5" t="n"/>
      <c r="G83" s="5">
        <f>IF($A83="","",'15.機能×画面行列'!CC$64)</f>
        <v/>
      </c>
      <c r="H83" s="6">
        <f>IF($A83="","",IF($G83="","",IF($G83=0,"⚠ 未割当","OK")))</f>
        <v/>
      </c>
    </row>
  </sheetData>
  <autoFilter ref="A3:H83"/>
  <mergeCells count="2">
    <mergeCell ref="A2:H2"/>
    <mergeCell ref="A1:H1"/>
  </mergeCells>
  <conditionalFormatting sqref="H4:H83">
    <cfRule type="expression" priority="2" dxfId="0">
      <formula>$H4="OK"</formula>
    </cfRule>
  </conditionalFormatting>
  <conditionalFormatting sqref="A4:H83">
    <cfRule type="expression" priority="1" dxfId="1">
      <formula>$H4="⚠ 未割当"</formula>
    </cfRule>
  </conditionalFormatting>
  <dataValidations count="2">
    <dataValidation sqref="D4:D83" showDropDown="0" showInputMessage="0" showErrorMessage="0" allowBlank="1" type="list">
      <formula1>"一覧,詳細,登録,更新,削除,照会,ポップアップ,ダッシュボード,共通フレーム,ログイン,提示"</formula1>
    </dataValidation>
    <dataValidation sqref="F4:F83" showDropDown="0" showInputMessage="0" showErrorMessage="0" allowBlank="1" type="list">
      <formula1>"新規,改修"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E5C8A"/>
    <outlinePr summaryBelow="1" summaryRight="1"/>
    <pageSetUpPr/>
  </sheetPr>
  <dimension ref="A1:H19"/>
  <sheetViews>
    <sheetView workbookViewId="0">
      <pane ySplit="3" topLeftCell="A4" activePane="bottomLeft" state="frozen"/>
      <selection activeCell="A1" sqref="A1"/>
      <selection pane="bottomLeft" activeCell="D27" sqref="D27"/>
    </sheetView>
  </sheetViews>
  <sheetFormatPr baseColWidth="8" defaultColWidth="9" defaultRowHeight="13.5"/>
  <cols>
    <col width="10" customWidth="1" min="1" max="1"/>
    <col width="47.375" customWidth="1" min="2" max="2"/>
    <col width="35.875" customWidth="1" min="3" max="3"/>
    <col width="52" customWidth="1" min="4" max="4"/>
    <col width="14" customWidth="1" min="5" max="5"/>
    <col width="10" customWidth="1" min="6" max="6"/>
    <col width="30" customWidth="1" min="7" max="7"/>
  </cols>
  <sheetData>
    <row r="1" ht="14.25" customHeight="1">
      <c r="A1" s="19" t="inlineStr">
        <is>
          <t>業務一覧（RD-03 出典・ID 台账 §4.1）</t>
        </is>
      </c>
    </row>
    <row r="2">
      <c r="A2" s="20" t="inlineStr">
        <is>
          <t>対応要件数は 2.要件一覧 J 列（対応業務 ID）からの COUNTIF 集計。業務名・関連要件 ID は RD-03 §2 の照録。</t>
        </is>
      </c>
    </row>
    <row r="3">
      <c r="A3" s="21" t="inlineStr">
        <is>
          <t>業務ID</t>
        </is>
      </c>
      <c r="B3" s="21" t="inlineStr">
        <is>
          <t>業務名・概要</t>
        </is>
      </c>
      <c r="C3" s="21" t="inlineStr">
        <is>
          <t>担当ロール</t>
        </is>
      </c>
      <c r="D3" s="21" t="inlineStr">
        <is>
          <t>関連要件 ID（RD-03 照録）</t>
        </is>
      </c>
      <c r="E3" s="21" t="inlineStr">
        <is>
          <t>対応要件数（式）</t>
        </is>
      </c>
      <c r="F3" s="21" t="inlineStr">
        <is>
          <t>業務フロー図</t>
        </is>
      </c>
      <c r="G3" s="21" t="inlineStr">
        <is>
          <t>实施状态</t>
        </is>
      </c>
      <c r="H3" s="21" t="inlineStr">
        <is>
          <t>工程</t>
        </is>
      </c>
    </row>
    <row r="4">
      <c r="A4" t="inlineStr">
        <is>
          <t>BIZ-01</t>
        </is>
      </c>
      <c r="B4" t="inlineStr">
        <is>
          <t>ユーザー登録</t>
        </is>
      </c>
      <c r="C4" t="inlineStr">
        <is>
          <t>顧客（未認証）</t>
        </is>
      </c>
      <c r="D4" t="inlineStr">
        <is>
          <t>REQ-001</t>
        </is>
      </c>
      <c r="E4">
        <f>IF($A4="","",COUNTIF('2.要件一覧'!$J$4:$J$63,"*"&amp;$A4&amp;"*"))</f>
        <v/>
      </c>
      <c r="F4" t="inlineStr">
        <is>
          <t>図1・2</t>
        </is>
      </c>
      <c r="G4" t="inlineStr">
        <is>
          <t>✅ 既存実装</t>
        </is>
      </c>
      <c r="H4" t="inlineStr">
        <is>
          <t>既存（実装済）</t>
        </is>
      </c>
    </row>
    <row r="5">
      <c r="A5" t="inlineStr">
        <is>
          <t>BIZ-02</t>
        </is>
      </c>
      <c r="B5" t="inlineStr">
        <is>
          <t>ログイン・ログアウト</t>
        </is>
      </c>
      <c r="C5" t="inlineStr">
        <is>
          <t>顧客・管理者</t>
        </is>
      </c>
      <c r="D5" t="inlineStr">
        <is>
          <t>REQ-002, REQ-003, REQ-014</t>
        </is>
      </c>
      <c r="E5">
        <f>IF($A5="","",COUNTIF('2.要件一覧'!$J$4:$J$63,"*"&amp;$A5&amp;"*"))</f>
        <v/>
      </c>
      <c r="F5" t="inlineStr">
        <is>
          <t>図1・2</t>
        </is>
      </c>
      <c r="G5" t="inlineStr">
        <is>
          <t>✅ 既存実装</t>
        </is>
      </c>
      <c r="H5" t="inlineStr">
        <is>
          <t>既存（実装済）</t>
        </is>
      </c>
    </row>
    <row r="6">
      <c r="A6" t="inlineStr">
        <is>
          <t>BIZ-03</t>
        </is>
      </c>
      <c r="B6" t="inlineStr">
        <is>
          <t>予約作成</t>
        </is>
      </c>
      <c r="C6" t="inlineStr">
        <is>
          <t>顧客</t>
        </is>
      </c>
      <c r="D6" t="inlineStr">
        <is>
          <t>REQ-004, REQ-005, REQ-006</t>
        </is>
      </c>
      <c r="E6">
        <f>IF($A6="","",COUNTIF('2.要件一覧'!$J$4:$J$63,"*"&amp;$A6&amp;"*"))</f>
        <v/>
      </c>
      <c r="F6" t="inlineStr">
        <is>
          <t>図1・2</t>
        </is>
      </c>
      <c r="G6" t="inlineStr">
        <is>
          <t>✅ 既存実装</t>
        </is>
      </c>
      <c r="H6" t="inlineStr">
        <is>
          <t>既存（実装済）</t>
        </is>
      </c>
    </row>
    <row r="7">
      <c r="A7" t="inlineStr">
        <is>
          <t>BIZ-04</t>
        </is>
      </c>
      <c r="B7" t="inlineStr">
        <is>
          <t>予約変更・キャンセル・削除</t>
        </is>
      </c>
      <c r="C7" t="inlineStr">
        <is>
          <t>顧客</t>
        </is>
      </c>
      <c r="D7" t="inlineStr">
        <is>
          <t>REQ-008</t>
        </is>
      </c>
      <c r="E7">
        <f>IF($A7="","",COUNTIF('2.要件一覧'!$J$4:$J$63,"*"&amp;$A7&amp;"*"))</f>
        <v/>
      </c>
      <c r="F7" t="inlineStr">
        <is>
          <t>図1・2</t>
        </is>
      </c>
      <c r="G7" t="inlineStr">
        <is>
          <t>✅ 既存実装</t>
        </is>
      </c>
      <c r="H7" t="inlineStr">
        <is>
          <t>既存（実装済）</t>
        </is>
      </c>
    </row>
    <row r="8">
      <c r="A8" t="inlineStr">
        <is>
          <t>BIZ-05</t>
        </is>
      </c>
      <c r="B8" t="inlineStr">
        <is>
          <t>予約照会（本人）</t>
        </is>
      </c>
      <c r="C8" t="inlineStr">
        <is>
          <t>顧客</t>
        </is>
      </c>
      <c r="D8" t="inlineStr">
        <is>
          <t>REQ-007</t>
        </is>
      </c>
      <c r="E8">
        <f>IF($A8="","",COUNTIF('2.要件一覧'!$J$4:$J$63,"*"&amp;$A8&amp;"*"))</f>
        <v/>
      </c>
      <c r="F8" t="inlineStr">
        <is>
          <t>図1・2</t>
        </is>
      </c>
      <c r="G8" t="inlineStr">
        <is>
          <t>✅ 既存実装</t>
        </is>
      </c>
      <c r="H8" t="inlineStr">
        <is>
          <t>既存（実装済）</t>
        </is>
      </c>
    </row>
    <row r="9">
      <c r="A9" t="inlineStr">
        <is>
          <t>BIZ-06</t>
        </is>
      </c>
      <c r="B9" t="inlineStr">
        <is>
          <t>通知確認</t>
        </is>
      </c>
      <c r="C9" t="inlineStr">
        <is>
          <t>顧客</t>
        </is>
      </c>
      <c r="D9" t="inlineStr">
        <is>
          <t>REQ-009</t>
        </is>
      </c>
      <c r="E9">
        <f>IF($A9="","",COUNTIF('2.要件一覧'!$J$4:$J$63,"*"&amp;$A9&amp;"*"))</f>
        <v/>
      </c>
      <c r="F9" t="inlineStr">
        <is>
          <t>図1・2</t>
        </is>
      </c>
      <c r="G9" t="inlineStr">
        <is>
          <t>✅ 既存実装</t>
        </is>
      </c>
      <c r="H9" t="inlineStr">
        <is>
          <t>既存（実装済）</t>
        </is>
      </c>
    </row>
    <row r="10">
      <c r="A10" t="inlineStr">
        <is>
          <t>BIZ-07</t>
        </is>
      </c>
      <c r="B10" t="inlineStr">
        <is>
          <t>予約管理（管理者）</t>
        </is>
      </c>
      <c r="C10" t="inlineStr">
        <is>
          <t>管理者</t>
        </is>
      </c>
      <c r="D10" t="inlineStr">
        <is>
          <t>REQ-010, REQ-014</t>
        </is>
      </c>
      <c r="E10">
        <f>IF($A10="","",COUNTIF('2.要件一覧'!$J$4:$J$63,"*"&amp;$A10&amp;"*"))</f>
        <v/>
      </c>
      <c r="F10" t="inlineStr">
        <is>
          <t>図3</t>
        </is>
      </c>
      <c r="G10" t="inlineStr">
        <is>
          <t>✅ 既存実装</t>
        </is>
      </c>
      <c r="H10" t="inlineStr">
        <is>
          <t>既存（実装済）</t>
        </is>
      </c>
    </row>
    <row r="11">
      <c r="A11" t="inlineStr">
        <is>
          <t>BIZ-08</t>
        </is>
      </c>
      <c r="B11" t="inlineStr">
        <is>
          <t>サービス・時間枠管理</t>
        </is>
      </c>
      <c r="C11" t="inlineStr">
        <is>
          <t>管理者</t>
        </is>
      </c>
      <c r="D11" t="inlineStr">
        <is>
          <t>REQ-011, REQ-012, REQ-014</t>
        </is>
      </c>
      <c r="E11">
        <f>IF($A11="","",COUNTIF('2.要件一覧'!$J$4:$J$63,"*"&amp;$A11&amp;"*"))</f>
        <v/>
      </c>
      <c r="F11" t="inlineStr">
        <is>
          <t>図3</t>
        </is>
      </c>
      <c r="G11" t="inlineStr">
        <is>
          <t>✅ 既存実装</t>
        </is>
      </c>
      <c r="H11" t="inlineStr">
        <is>
          <t>既存（実装済）</t>
        </is>
      </c>
    </row>
    <row r="12">
      <c r="A12" t="inlineStr">
        <is>
          <t>BIZ-09</t>
        </is>
      </c>
      <c r="B12" t="inlineStr">
        <is>
          <t>ユーザー管理</t>
        </is>
      </c>
      <c r="C12" t="inlineStr">
        <is>
          <t>管理者</t>
        </is>
      </c>
      <c r="D12" t="inlineStr">
        <is>
          <t>REQ-013, REQ-014, REQ-015, REQ-035, REQ-038</t>
        </is>
      </c>
      <c r="E12">
        <f>IF($A12="","",COUNTIF('2.要件一覧'!$J$4:$J$63,"*"&amp;$A12&amp;"*"))</f>
        <v/>
      </c>
      <c r="F12" t="inlineStr">
        <is>
          <t>図3</t>
        </is>
      </c>
      <c r="G12" t="inlineStr">
        <is>
          <t>✅ 既存実装</t>
        </is>
      </c>
      <c r="H12" t="inlineStr">
        <is>
          <t>既存（実装済）</t>
        </is>
      </c>
    </row>
    <row r="13">
      <c r="A13" t="inlineStr">
        <is>
          <t>BIZ-10</t>
        </is>
      </c>
      <c r="B13" t="inlineStr">
        <is>
          <t>Salesforce 管理ワークベンチ入口利用</t>
        </is>
      </c>
      <c r="C13" t="inlineStr">
        <is>
          <t>管理者</t>
        </is>
      </c>
      <c r="D13" t="inlineStr">
        <is>
          <t>REQ-017, REQ-026, REQ-038</t>
        </is>
      </c>
      <c r="E13">
        <f>IF($A13="","",COUNTIF('2.要件一覧'!$J$4:$J$63,"*"&amp;$A13&amp;"*"))</f>
        <v/>
      </c>
      <c r="F13" t="inlineStr">
        <is>
          <t>図4</t>
        </is>
      </c>
      <c r="G13" t="inlineStr">
        <is>
          <t>未着手（P0-4 計画）</t>
        </is>
      </c>
      <c r="H13" t="inlineStr">
        <is>
          <t>P0-4</t>
        </is>
      </c>
    </row>
    <row r="14">
      <c r="A14" t="inlineStr">
        <is>
          <t>BIZ-11</t>
        </is>
      </c>
      <c r="B14" t="inlineStr">
        <is>
          <t>Experience Site 独立ログイン</t>
        </is>
      </c>
      <c r="C14" t="inlineStr">
        <is>
          <t>管理者（外部ユーザーとして）</t>
        </is>
      </c>
      <c r="D14" t="inlineStr">
        <is>
          <t>REQ-016, REQ-034</t>
        </is>
      </c>
      <c r="E14">
        <f>IF($A14="","",COUNTIF('2.要件一覧'!$J$4:$J$63,"*"&amp;$A14&amp;"*"))</f>
        <v/>
      </c>
      <c r="F14" t="inlineStr">
        <is>
          <t>図4</t>
        </is>
      </c>
      <c r="G14" t="inlineStr">
        <is>
          <t>✅ 検証済（ログイン部分・P0-1）</t>
        </is>
      </c>
      <c r="H14" t="inlineStr">
        <is>
          <t>P0-1（完了）/P0-4</t>
        </is>
      </c>
    </row>
    <row r="15">
      <c r="A15" t="inlineStr">
        <is>
          <t>BIZ-12</t>
        </is>
      </c>
      <c r="B15" t="inlineStr">
        <is>
          <t>予約投影（正本変更の冪等投影）</t>
        </is>
      </c>
      <c r="C15" t="inlineStr">
        <is>
          <t>システム（Booking API → Apex）</t>
        </is>
      </c>
      <c r="D15" t="inlineStr">
        <is>
          <t>REQ-018, REQ-019, REQ-024, REQ-025, REQ-029, REQ-031, REQ-033, REQ-036, REQ-037</t>
        </is>
      </c>
      <c r="E15">
        <f>IF($A15="","",COUNTIF('2.要件一覧'!$J$4:$J$63,"*"&amp;$A15&amp;"*"))</f>
        <v/>
      </c>
      <c r="F15" t="inlineStr">
        <is>
          <t>図5</t>
        </is>
      </c>
      <c r="G15" t="inlineStr">
        <is>
          <t>未着手（P0-3 計画）</t>
        </is>
      </c>
      <c r="H15" t="inlineStr">
        <is>
          <t>P0-3</t>
        </is>
      </c>
    </row>
    <row r="16">
      <c r="A16" t="inlineStr">
        <is>
          <t>BIZ-13</t>
        </is>
      </c>
      <c r="B16" t="inlineStr">
        <is>
          <t>投影照会（Site）</t>
        </is>
      </c>
      <c r="C16" t="inlineStr">
        <is>
          <t>管理者（外部ユーザーとして）</t>
        </is>
      </c>
      <c r="D16" t="inlineStr">
        <is>
          <t>REQ-020, REQ-030</t>
        </is>
      </c>
      <c r="E16">
        <f>IF($A16="","",COUNTIF('2.要件一覧'!$J$4:$J$63,"*"&amp;$A16&amp;"*"))</f>
        <v/>
      </c>
      <c r="F16" t="inlineStr">
        <is>
          <t>図4</t>
        </is>
      </c>
      <c r="G16" t="inlineStr">
        <is>
          <t>未着手（P0-4 計画）</t>
        </is>
      </c>
      <c r="H16" t="inlineStr">
        <is>
          <t>P0-4</t>
        </is>
      </c>
    </row>
    <row r="17">
      <c r="A17" t="inlineStr">
        <is>
          <t>BIZ-14</t>
        </is>
      </c>
      <c r="B17" t="inlineStr">
        <is>
          <t>予約キャンセルコマンド実行</t>
        </is>
      </c>
      <c r="C17" t="inlineStr">
        <is>
          <t>管理者（送信）＋システム（実行）</t>
        </is>
      </c>
      <c r="D17" t="inlineStr">
        <is>
          <t>REQ-021, REQ-022, REQ-023, REQ-024, REQ-025, REQ-026, REQ-027, REQ-029, REQ-030, REQ-031, REQ-036</t>
        </is>
      </c>
      <c r="E17">
        <f>IF($A17="","",COUNTIF('2.要件一覧'!$J$4:$J$63,"*"&amp;$A17&amp;"*"))</f>
        <v/>
      </c>
      <c r="F17" t="inlineStr">
        <is>
          <t>図6</t>
        </is>
      </c>
      <c r="G17" t="inlineStr">
        <is>
          <t>未着手（P0-3/P0-4 計画）</t>
        </is>
      </c>
      <c r="H17" t="inlineStr">
        <is>
          <t>P0-3/P0-4</t>
        </is>
      </c>
    </row>
    <row r="18">
      <c r="A18" t="inlineStr">
        <is>
          <t>BIZ-15</t>
        </is>
      </c>
      <c r="B18" t="inlineStr">
        <is>
          <t>コマンド異常時対応（409/FAILED・手動 Retry）</t>
        </is>
      </c>
      <c r="C18" t="inlineStr">
        <is>
          <t>管理者（判断）＋システム（再実行）</t>
        </is>
      </c>
      <c r="D18" t="inlineStr">
        <is>
          <t>REQ-027, REQ-028, REQ-031, REQ-037</t>
        </is>
      </c>
      <c r="E18">
        <f>IF($A18="","",COUNTIF('2.要件一覧'!$J$4:$J$63,"*"&amp;$A18&amp;"*"))</f>
        <v/>
      </c>
      <c r="F18" t="inlineStr">
        <is>
          <t>図6</t>
        </is>
      </c>
      <c r="G18" t="inlineStr">
        <is>
          <t>半自動（P0 手動 Retry・UI は P1）</t>
        </is>
      </c>
      <c r="H18" t="inlineStr">
        <is>
          <t>P0-3/P1</t>
        </is>
      </c>
    </row>
    <row r="19">
      <c r="A19" t="inlineStr">
        <is>
          <t>BIZ-16</t>
        </is>
      </c>
      <c r="B19" t="inlineStr">
        <is>
          <t>予約データ保持・消去（30 日ハードデリート）</t>
        </is>
      </c>
      <c r="C19" t="inlineStr">
        <is>
          <t>システム＋管理者（月次確認）</t>
        </is>
      </c>
      <c r="D19" t="inlineStr">
        <is>
          <t>REQ-032, REQ-033</t>
        </is>
      </c>
      <c r="E19">
        <f>IF($A19="","",COUNTIF('2.要件一覧'!$J$4:$J$63,"*"&amp;$A19&amp;"*"))</f>
        <v/>
      </c>
      <c r="F19" t="inlineStr">
        <is>
          <t>図7</t>
        </is>
      </c>
      <c r="G19" t="inlineStr">
        <is>
          <t>✅ 既存実装（月次確認は手動）</t>
        </is>
      </c>
      <c r="H19" t="inlineStr">
        <is>
          <t>既存（実装済）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E5C8A"/>
    <outlinePr summaryBelow="1" summaryRight="1"/>
    <pageSetUpPr/>
  </sheetPr>
  <dimension ref="A1:G21"/>
  <sheetViews>
    <sheetView workbookViewId="0">
      <pane ySplit="3" topLeftCell="A4" activePane="bottomLeft" state="frozen"/>
      <selection activeCell="A1" sqref="A1"/>
      <selection pane="bottomLeft" activeCell="E32" sqref="E32"/>
    </sheetView>
  </sheetViews>
  <sheetFormatPr baseColWidth="8" defaultColWidth="9" defaultRowHeight="13.5"/>
  <cols>
    <col width="10" customWidth="1" min="1" max="1"/>
    <col width="16" customWidth="1" min="2" max="2"/>
    <col width="130.25" customWidth="1" min="3" max="3"/>
    <col width="30" customWidth="1" min="4" max="4"/>
    <col width="87.5" customWidth="1" min="5" max="5"/>
    <col width="44" customWidth="1" min="6" max="6"/>
  </cols>
  <sheetData>
    <row r="1" ht="14.25" customHeight="1">
      <c r="A1" s="19" t="inlineStr">
        <is>
          <t>業務ルール一覧（RD-05 出典）</t>
        </is>
      </c>
    </row>
    <row r="2">
      <c r="A2" s="20" t="inlineStr">
        <is>
          <t>ルール内容は RD-05 §2 の要約（原文は同書参照）。主検証アンカーは RD-05 §3 の対応表による（RULE-06 は §3 未記載のため —）。</t>
        </is>
      </c>
    </row>
    <row r="3">
      <c r="A3" s="21" t="inlineStr">
        <is>
          <t>ルールID</t>
        </is>
      </c>
      <c r="B3" s="21" t="inlineStr">
        <is>
          <t>対応業務ID</t>
        </is>
      </c>
      <c r="C3" s="21" t="inlineStr">
        <is>
          <t>ルール内容（要約）</t>
        </is>
      </c>
      <c r="D3" s="21" t="inlineStr">
        <is>
          <t>適用タイミング</t>
        </is>
      </c>
      <c r="E3" s="21" t="inlineStr">
        <is>
          <t>主検証アンカー（RD-05 §3）</t>
        </is>
      </c>
      <c r="F3" s="21" t="inlineStr">
        <is>
          <t>实施状态</t>
        </is>
      </c>
      <c r="G3" s="21" t="inlineStr">
        <is>
          <t>工程</t>
        </is>
      </c>
    </row>
    <row r="4" ht="19" customHeight="1">
      <c r="A4" t="inlineStr">
        <is>
          <t>RULE-01</t>
        </is>
      </c>
      <c r="B4" t="inlineStr">
        <is>
          <t>BIZ-12</t>
        </is>
      </c>
      <c r="C4" t="inlineStr">
        <is>
          <t>投影受信時、incomingVersion &lt;= CurrentVersion__c は受理を拒否し Booking__c を更新しない</t>
        </is>
      </c>
      <c r="D4" t="inlineStr">
        <is>
          <t>投影 REST 受信時</t>
        </is>
      </c>
      <c r="E4" t="inlineStr">
        <is>
          <t>MV-05・MV-06</t>
        </is>
      </c>
      <c r="F4" t="inlineStr">
        <is>
          <t>未着手（P0-3 計画）</t>
        </is>
      </c>
      <c r="G4" t="inlineStr">
        <is>
          <t>P0-3</t>
        </is>
      </c>
    </row>
    <row r="5" ht="19" customHeight="1">
      <c r="A5" t="inlineStr">
        <is>
          <t>RULE-02</t>
        </is>
      </c>
      <c r="B5" t="inlineStr">
        <is>
          <t>BIZ-14</t>
        </is>
      </c>
      <c r="C5" t="inlineStr">
        <is>
          <t>expectedVersion != 正本 version の場合は 409＋currentVersion＋correlationId を返し正本を更新しない</t>
        </is>
      </c>
      <c r="D5" t="inlineStr">
        <is>
          <t>Booking 統合端点の業務判定時</t>
        </is>
      </c>
      <c r="E5" t="inlineStr">
        <is>
          <t>MV-09</t>
        </is>
      </c>
      <c r="F5" t="inlineStr">
        <is>
          <t>未着手（P0-3 計画）</t>
        </is>
      </c>
      <c r="G5" t="inlineStr">
        <is>
          <t>P0-3</t>
        </is>
      </c>
    </row>
    <row r="6" ht="19" customHeight="1">
      <c r="A6" t="inlineStr">
        <is>
          <t>RULE-03</t>
        </is>
      </c>
      <c r="B6" t="inlineStr">
        <is>
          <t>BIZ-14</t>
        </is>
      </c>
      <c r="C6" t="inlineStr">
        <is>
          <t>同一 commandId の再到達では初回保存済み結果を返し、副作用を再実行しない</t>
        </is>
      </c>
      <c r="D6" t="inlineStr">
        <is>
          <t>Booking 統合端点受信時</t>
        </is>
      </c>
      <c r="E6" t="inlineStr">
        <is>
          <t>MV-08（重複口径）</t>
        </is>
      </c>
      <c r="F6" t="inlineStr">
        <is>
          <t>未着手（P0-3 計画）</t>
        </is>
      </c>
      <c r="G6" t="inlineStr">
        <is>
          <t>P0-3</t>
        </is>
      </c>
    </row>
    <row r="7" ht="19" customHeight="1">
      <c r="A7" t="inlineStr">
        <is>
          <t>RULE-04</t>
        </is>
      </c>
      <c r="B7" t="inlineStr">
        <is>
          <t>BIZ-12</t>
        </is>
      </c>
      <c r="C7" t="inlineStr">
        <is>
          <t>同一 eventId の投影再送では初回の受理結果を返し、レコードを追加更新しない（LastEventId__c 判定）</t>
        </is>
      </c>
      <c r="D7" t="inlineStr">
        <is>
          <t>投影 REST 受信時</t>
        </is>
      </c>
      <c r="E7" t="inlineStr">
        <is>
          <t>MV-05・MV-06</t>
        </is>
      </c>
      <c r="F7" t="inlineStr">
        <is>
          <t>未着手（P0-3 計画）</t>
        </is>
      </c>
      <c r="G7" t="inlineStr">
        <is>
          <t>P0-3</t>
        </is>
      </c>
    </row>
    <row r="8" ht="19" customHeight="1">
      <c r="A8" t="inlineStr">
        <is>
          <t>RULE-05</t>
        </is>
      </c>
      <c r="B8" t="inlineStr">
        <is>
          <t>BIZ-04, BIZ-14</t>
        </is>
      </c>
      <c r="C8" t="inlineStr">
        <is>
          <t>合法遷移は PENDING→CONFIRMED／PENDING→CANCELLED／CONFIRMED→CANCELLED／CONFIRMED→COMPLETED のみ。終状態への遷移は不可</t>
        </is>
      </c>
      <c r="D8" t="inlineStr">
        <is>
          <t>予約更新・取消・コマンド適用時</t>
        </is>
      </c>
      <c r="E8" t="inlineStr">
        <is>
          <t>実装済 UT＋MV-09</t>
        </is>
      </c>
      <c r="F8" t="inlineStr">
        <is>
          <t>✅ 既存実装（現行仕様）</t>
        </is>
      </c>
      <c r="G8" t="inlineStr">
        <is>
          <t>既存（実装済）</t>
        </is>
      </c>
    </row>
    <row r="9" ht="19" customHeight="1">
      <c r="A9" t="inlineStr">
        <is>
          <t>RULE-06</t>
        </is>
      </c>
      <c r="B9" t="inlineStr">
        <is>
          <t>BIZ-03</t>
        </is>
      </c>
      <c r="C9" t="inlineStr">
        <is>
          <t>予約作成は対象時間枠が稼働中かつ予約済みでない（実効容量=1）場合のみ受理。競合は直列化＋限定リトライ</t>
        </is>
      </c>
      <c r="D9" t="inlineStr">
        <is>
          <t>予約作成時</t>
        </is>
      </c>
      <c r="E9" t="inlineStr">
        <is>
          <t>—（RD-05 §3 未記載）</t>
        </is>
      </c>
      <c r="F9" t="inlineStr">
        <is>
          <t>✅ 既存実装（現行仕様）</t>
        </is>
      </c>
      <c r="G9" t="inlineStr">
        <is>
          <t>既存（実装済）</t>
        </is>
      </c>
    </row>
    <row r="10" ht="19" customHeight="1">
      <c r="A10" t="inlineStr">
        <is>
          <t>RULE-07</t>
        </is>
      </c>
      <c r="B10" t="inlineStr">
        <is>
          <t>BIZ-04, BIZ-14</t>
        </is>
      </c>
      <c r="C10" t="inlineStr">
        <is>
          <t>取消は PENDING/CONFIRMED のみ。CANCELLED 宛の新 commandId・COMPLETED 宛は 409</t>
        </is>
      </c>
      <c r="D10" t="inlineStr">
        <is>
          <t>取消実行時</t>
        </is>
      </c>
      <c r="E10" t="inlineStr">
        <is>
          <t>MV-09</t>
        </is>
      </c>
      <c r="F10" t="inlineStr">
        <is>
          <t>✅ 既存実装（現行仕様）</t>
        </is>
      </c>
      <c r="G10" t="inlineStr">
        <is>
          <t>既存（実装済）</t>
        </is>
      </c>
    </row>
    <row r="11" ht="19" customHeight="1">
      <c r="A11" t="inlineStr">
        <is>
          <t>RULE-08</t>
        </is>
      </c>
      <c r="B11" t="inlineStr">
        <is>
          <t>BIZ-12</t>
        </is>
      </c>
      <c r="C11" t="inlineStr">
        <is>
          <t>正本変更は同一トランザクションで正本更新＋version+1＋syncStatus=PENDING。version は単調増加</t>
        </is>
      </c>
      <c r="D11" t="inlineStr">
        <is>
          <t>正本変更トランザクション内</t>
        </is>
      </c>
      <c r="E11" t="inlineStr">
        <is>
          <t>MV-04</t>
        </is>
      </c>
      <c r="F11" t="inlineStr">
        <is>
          <t>未着手（P0-3 計画）</t>
        </is>
      </c>
      <c r="G11" t="inlineStr">
        <is>
          <t>P0-3</t>
        </is>
      </c>
    </row>
    <row r="12" ht="19" customHeight="1">
      <c r="A12" t="inlineStr">
        <is>
          <t>RULE-09</t>
        </is>
      </c>
      <c r="B12" t="inlineStr">
        <is>
          <t>BIZ-14, BIZ-15</t>
        </is>
      </c>
      <c r="C12" t="inlineStr">
        <is>
          <t>409＝業務競合（自動リトライせず CONFLICT）。503/429/timeout＝一時的障害（attemptCount+1・限定回数リトライ）</t>
        </is>
      </c>
      <c r="D12" t="inlineStr">
        <is>
          <t>Queueable の応答処理時</t>
        </is>
      </c>
      <c r="E12" t="inlineStr">
        <is>
          <t>MV-10</t>
        </is>
      </c>
      <c r="F12" t="inlineStr">
        <is>
          <t>未着手（P0-3 計画）</t>
        </is>
      </c>
      <c r="G12" t="inlineStr">
        <is>
          <t>P0-3</t>
        </is>
      </c>
    </row>
    <row r="13" ht="19" customHeight="1">
      <c r="A13" t="inlineStr">
        <is>
          <t>RULE-10</t>
        </is>
      </c>
      <c r="B13" t="inlineStr">
        <is>
          <t>BIZ-15</t>
        </is>
      </c>
      <c r="C13" t="inlineStr">
        <is>
          <t>リトライ上限到達で FAILED とし、手動 Retry は原 commandId で実行（新 commandId を発行しない）</t>
        </is>
      </c>
      <c r="D13" t="inlineStr">
        <is>
          <t>リトライ上限到達時・手動 Retry 時</t>
        </is>
      </c>
      <c r="E13" t="inlineStr">
        <is>
          <t>MV-10</t>
        </is>
      </c>
      <c r="F13" t="inlineStr">
        <is>
          <t>未着手（P0-3 計画）</t>
        </is>
      </c>
      <c r="G13" t="inlineStr">
        <is>
          <t>P0-3</t>
        </is>
      </c>
    </row>
    <row r="14" ht="19" customHeight="1">
      <c r="A14" t="inlineStr">
        <is>
          <t>RULE-11</t>
        </is>
      </c>
      <c r="B14" t="inlineStr">
        <is>
          <t>BIZ-12</t>
        </is>
      </c>
      <c r="C14" t="inlineStr">
        <is>
          <t>投影ホワイトリストは 9 項目のみ。PII 5 項目はペイロード・Booking__c のいずれにも含めない</t>
        </is>
      </c>
      <c r="D14" t="inlineStr">
        <is>
          <t>投影ペイロード生成時・項目設計時</t>
        </is>
      </c>
      <c r="E14" t="inlineStr">
        <is>
          <t>MV-04 併せて確認（PII）</t>
        </is>
      </c>
      <c r="F14" t="inlineStr">
        <is>
          <t>✅ 凍結済（2026-09-01・CHK-01 C-2）</t>
        </is>
      </c>
      <c r="G14" t="inlineStr">
        <is>
          <t>P0-2</t>
        </is>
      </c>
    </row>
    <row r="15" ht="19" customHeight="1">
      <c r="A15" t="inlineStr">
        <is>
          <t>RULE-12</t>
        </is>
      </c>
      <c r="B15" t="inlineStr">
        <is>
          <t>BIZ-10, BIZ-14</t>
        </is>
      </c>
      <c r="C15" t="inlineStr">
        <is>
          <t>操作者はサーバ側の静的マッピングのみで特定。非 ADMIN/ACTIVE・inactive は拒否</t>
        </is>
      </c>
      <c r="D15" t="inlineStr">
        <is>
          <t>入口表示判定時・コマンド業務判定時</t>
        </is>
      </c>
      <c r="E15" t="inlineStr">
        <is>
          <t>MV-11（誤認証・RD-05 §3）／静的マッピング主検証は MV-08（mvp-validation.md:120）</t>
        </is>
      </c>
      <c r="F15" t="inlineStr">
        <is>
          <t>未着手（P0-3 計画）</t>
        </is>
      </c>
      <c r="G15" t="inlineStr">
        <is>
          <t>P0-3</t>
        </is>
      </c>
    </row>
    <row r="16" ht="19" customHeight="1">
      <c r="A16" t="inlineStr">
        <is>
          <t>RULE-13</t>
        </is>
      </c>
      <c r="B16" t="inlineStr">
        <is>
          <t>BIZ-13, BIZ-14</t>
        </is>
      </c>
      <c r="C16" t="inlineStr">
        <is>
          <t>コマンド種別は CANCEL_BOOKING のみ。Site 操作は OWD Private＋Sharing Set＋CRUD/FLS の範囲内（with sharing）</t>
        </is>
      </c>
      <c r="D16" t="inlineStr">
        <is>
          <t>Site 操作時</t>
        </is>
      </c>
      <c r="E16" t="inlineStr">
        <is>
          <t>MV-07</t>
        </is>
      </c>
      <c r="F16" t="inlineStr">
        <is>
          <t>未着手（P0-2/P0-4 計画）</t>
        </is>
      </c>
      <c r="G16" t="inlineStr">
        <is>
          <t>P0-2/P0-4</t>
        </is>
      </c>
    </row>
    <row r="17" ht="19" customHeight="1">
      <c r="A17" t="inlineStr">
        <is>
          <t>RULE-14</t>
        </is>
      </c>
      <c r="B17" t="inlineStr">
        <is>
          <t>BIZ-14</t>
        </is>
      </c>
      <c r="C17" t="inlineStr">
        <is>
          <t>終状態（SUCCEEDED/CONFLICT）書込は明示 200/409 受信時のみ。401/403・timeout では書込まない</t>
        </is>
      </c>
      <c r="D17" t="inlineStr">
        <is>
          <t>Queueable の応答処理時</t>
        </is>
      </c>
      <c r="E17" t="inlineStr">
        <is>
          <t>MV-08／MV-10</t>
        </is>
      </c>
      <c r="F17" t="inlineStr">
        <is>
          <t>未着手（P0-3 計画）</t>
        </is>
      </c>
      <c r="G17" t="inlineStr">
        <is>
          <t>P0-3</t>
        </is>
      </c>
    </row>
    <row r="18" ht="19" customHeight="1">
      <c r="A18" t="inlineStr">
        <is>
          <t>RULE-15</t>
        </is>
      </c>
      <c r="B18" t="inlineStr">
        <is>
          <t>BIZ-16</t>
        </is>
      </c>
      <c r="C18" t="inlineStr">
        <is>
          <t>CANCELLED/COMPLETED は状態確定から 30 日後にハードデリート。投影は対象外・遅延コマンドは 404/409（G7）</t>
        </is>
      </c>
      <c r="D18" t="inlineStr">
        <is>
          <t>日次クリーンアップ実行時</t>
        </is>
      </c>
      <c r="E18" t="inlineStr">
        <is>
          <t>NFR-11（月次確認）</t>
        </is>
      </c>
      <c r="F18" t="inlineStr">
        <is>
          <t>✅ 既存実装（retention 30 日）※遅延命令 404/409 は未着手（G7）</t>
        </is>
      </c>
      <c r="G18" t="inlineStr">
        <is>
          <t>既存/P0-3</t>
        </is>
      </c>
    </row>
    <row r="19" ht="19" customHeight="1">
      <c r="A19" t="inlineStr">
        <is>
          <t>RULE-16</t>
        </is>
      </c>
      <c r="B19" t="inlineStr">
        <is>
          <t>BIZ-10</t>
        </is>
      </c>
      <c r="C19" t="inlineStr">
        <is>
          <t>入口ボタンは role=ADMIN かつ静的マッピング active の場合のみ有効表示</t>
        </is>
      </c>
      <c r="D19" t="inlineStr">
        <is>
          <t>管理コンソール描画時</t>
        </is>
      </c>
      <c r="E19" t="inlineStr">
        <is>
          <t>MV-02</t>
        </is>
      </c>
      <c r="F19" t="inlineStr">
        <is>
          <t>未着手（P0-3 計画）</t>
        </is>
      </c>
      <c r="G19" t="inlineStr">
        <is>
          <t>P0-3</t>
        </is>
      </c>
    </row>
    <row r="20" ht="19" customHeight="1">
      <c r="A20" t="inlineStr">
        <is>
          <t>RULE-17</t>
        </is>
      </c>
      <c r="B20" t="inlineStr">
        <is>
          <t>BIZ-09</t>
        </is>
      </c>
      <c r="C20" t="inlineStr">
        <is>
          <t>ユーザー状態変更は全セッション取消。ロール変更は既存セッション行を残すが guard 化により旧トークンは拒否（DB セッション行対応は P1）</t>
        </is>
      </c>
      <c r="D20" t="inlineStr">
        <is>
          <t>PUT /v1/users/:id 系実行時</t>
        </is>
      </c>
      <c r="E20" t="inlineStr">
        <is>
          <t>実装済機能の動作確認</t>
        </is>
      </c>
      <c r="F20" t="inlineStr">
        <is>
          <t>✅ 既存実装（現行仕様・P1 強化課題）</t>
        </is>
      </c>
      <c r="G20" t="inlineStr">
        <is>
          <t>既存/P1</t>
        </is>
      </c>
    </row>
    <row r="21" ht="19" customHeight="1">
      <c r="A21" t="inlineStr">
        <is>
          <t>RULE-18</t>
        </is>
      </c>
      <c r="B21" t="inlineStr">
        <is>
          <t>BIZ-11</t>
        </is>
      </c>
      <c r="C21" t="inlineStr">
        <is>
          <t>Booking の機密（PW・JWT・Cookie・認証コード）は Salesforce に送信しない。両ログイン状態は完全に独立</t>
        </is>
      </c>
      <c r="D21" t="inlineStr">
        <is>
          <t>入口遷移時・Site ログイン時</t>
        </is>
      </c>
      <c r="E21" t="inlineStr">
        <is>
          <t>MV-03（検証済・ログイン部分）</t>
        </is>
      </c>
      <c r="F21" t="inlineStr">
        <is>
          <t>✅ 検証済（ログイン部分・P0-1）</t>
        </is>
      </c>
      <c r="G21" t="inlineStr">
        <is>
          <t>P0-1（完了）/P0-4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E5C8A"/>
    <outlinePr summaryBelow="1" summaryRight="1"/>
    <pageSetUpPr/>
  </sheetPr>
  <dimension ref="A1:F38"/>
  <sheetViews>
    <sheetView workbookViewId="0">
      <pane ySplit="3" topLeftCell="A4" activePane="bottomLeft" state="frozen"/>
      <selection activeCell="A1" sqref="A1"/>
      <selection pane="bottomLeft" activeCell="C30" sqref="C30"/>
    </sheetView>
  </sheetViews>
  <sheetFormatPr baseColWidth="8" defaultColWidth="9" defaultRowHeight="13.5"/>
  <cols>
    <col width="10" customWidth="1" min="1" max="1"/>
    <col width="52.25" customWidth="1" min="2" max="2"/>
    <col width="119" customWidth="1" min="3" max="3"/>
    <col width="18" customWidth="1" min="4" max="4"/>
    <col width="30" customWidth="1" min="5" max="5"/>
  </cols>
  <sheetData>
    <row r="1" ht="14.25" customHeight="1">
      <c r="A1" s="19" t="inlineStr">
        <is>
          <t>用語集（RD-06 出典）</t>
        </is>
      </c>
    </row>
    <row r="2">
      <c r="A2" s="20" t="inlineStr">
        <is>
          <t>用語名は日本語/英語表記（中国語参考列は RD-06 原表参照）。🔵＝P0 計画（未実装）。</t>
        </is>
      </c>
    </row>
    <row r="3">
      <c r="A3" s="21" t="inlineStr">
        <is>
          <t>用語ID</t>
        </is>
      </c>
      <c r="B3" s="21" t="inlineStr">
        <is>
          <t>用語名（日本語 / 英語）</t>
        </is>
      </c>
      <c r="C3" s="21" t="inlineStr">
        <is>
          <t>物理名候補</t>
        </is>
      </c>
      <c r="D3" s="21" t="inlineStr">
        <is>
          <t>備考</t>
        </is>
      </c>
      <c r="E3" s="21" t="inlineStr">
        <is>
          <t>实施状态</t>
        </is>
      </c>
      <c r="F3" s="21" t="inlineStr">
        <is>
          <t>工程</t>
        </is>
      </c>
    </row>
    <row r="4">
      <c r="A4" t="inlineStr">
        <is>
          <t>TERM-01</t>
        </is>
      </c>
      <c r="B4" t="inlineStr">
        <is>
          <t>予約 / Appointment</t>
        </is>
      </c>
      <c r="C4" t="inlineStr">
        <is>
          <t>Appointment（status: PENDING|CONFIRMED|CANCELLED|COMPLETED）</t>
        </is>
      </c>
      <c r="E4" t="inlineStr">
        <is>
          <t>✅ 既存</t>
        </is>
      </c>
      <c r="F4" t="inlineStr">
        <is>
          <t>既存（実装済）</t>
        </is>
      </c>
    </row>
    <row r="5">
      <c r="A5" t="inlineStr">
        <is>
          <t>TERM-02</t>
        </is>
      </c>
      <c r="B5" t="inlineStr">
        <is>
          <t>予約枠 / TimeSlot</t>
        </is>
      </c>
      <c r="C5" t="inlineStr">
        <is>
          <t>TimeSlot</t>
        </is>
      </c>
      <c r="E5" t="inlineStr">
        <is>
          <t>✅ 既存</t>
        </is>
      </c>
      <c r="F5" t="inlineStr">
        <is>
          <t>既存（実装済）</t>
        </is>
      </c>
    </row>
    <row r="6">
      <c r="A6" t="inlineStr">
        <is>
          <t>TERM-03</t>
        </is>
      </c>
      <c r="B6" t="inlineStr">
        <is>
          <t>サービス / Service</t>
        </is>
      </c>
      <c r="C6" t="inlineStr">
        <is>
          <t>Service</t>
        </is>
      </c>
      <c r="E6" t="inlineStr">
        <is>
          <t>✅ 既存</t>
        </is>
      </c>
      <c r="F6" t="inlineStr">
        <is>
          <t>既存（実装済）</t>
        </is>
      </c>
    </row>
    <row r="7">
      <c r="A7" t="inlineStr">
        <is>
          <t>TERM-04</t>
        </is>
      </c>
      <c r="B7" t="inlineStr">
        <is>
          <t>サービスカテゴリ / ServiceCategory</t>
        </is>
      </c>
      <c r="C7" t="inlineStr">
        <is>
          <t>ServiceCategory</t>
        </is>
      </c>
      <c r="E7" t="inlineStr">
        <is>
          <t>✅ 既存</t>
        </is>
      </c>
      <c r="F7" t="inlineStr">
        <is>
          <t>既存（実装済）</t>
        </is>
      </c>
    </row>
    <row r="8">
      <c r="A8" t="inlineStr">
        <is>
          <t>TERM-05</t>
        </is>
      </c>
      <c r="B8" t="inlineStr">
        <is>
          <t>顧客 / CUSTOMER</t>
        </is>
      </c>
      <c r="C8" t="inlineStr">
        <is>
          <t>User.userType = CUSTOMER</t>
        </is>
      </c>
      <c r="E8" t="inlineStr">
        <is>
          <t>✅ 既存</t>
        </is>
      </c>
      <c r="F8" t="inlineStr">
        <is>
          <t>既存（実装済）</t>
        </is>
      </c>
    </row>
    <row r="9">
      <c r="A9" t="inlineStr">
        <is>
          <t>TERM-06</t>
        </is>
      </c>
      <c r="B9" t="inlineStr">
        <is>
          <t>管理者 / ADMIN</t>
        </is>
      </c>
      <c r="C9" t="inlineStr">
        <is>
          <t>User.userType = ADMIN</t>
        </is>
      </c>
      <c r="E9" t="inlineStr">
        <is>
          <t>✅ 既存</t>
        </is>
      </c>
      <c r="F9" t="inlineStr">
        <is>
          <t>既存（実装済）</t>
        </is>
      </c>
    </row>
    <row r="10">
      <c r="A10" t="inlineStr">
        <is>
          <t>TERM-07</t>
        </is>
      </c>
      <c r="B10" t="inlineStr">
        <is>
          <t>外部ユーザー / External User</t>
        </is>
      </c>
      <c r="C10" t="inlineStr">
        <is>
          <t>Salesforce User（Chatter Communities External User）</t>
        </is>
      </c>
      <c r="E10" t="inlineStr">
        <is>
          <t>✅ 既存</t>
        </is>
      </c>
      <c r="F10" t="inlineStr">
        <is>
          <t>P0-1（完了）/P0-4</t>
        </is>
      </c>
    </row>
    <row r="11">
      <c r="A11" t="inlineStr">
        <is>
          <t>TERM-08</t>
        </is>
      </c>
      <c r="B11" t="inlineStr">
        <is>
          <t>正本 / Canonical Record</t>
        </is>
      </c>
      <c r="C11" t="inlineStr">
        <is>
          <t>Appointment</t>
        </is>
      </c>
      <c r="E11" t="inlineStr">
        <is>
          <t>✅ 既存</t>
        </is>
      </c>
      <c r="F11" t="inlineStr">
        <is>
          <t>既存（実装済）</t>
        </is>
      </c>
    </row>
    <row r="12">
      <c r="A12" t="inlineStr">
        <is>
          <t>TERM-09</t>
        </is>
      </c>
      <c r="B12" t="inlineStr">
        <is>
          <t>投影 / Projection</t>
        </is>
      </c>
      <c r="C12" t="inlineStr">
        <is>
          <t>Booking__c</t>
        </is>
      </c>
      <c r="D12" t="inlineStr">
        <is>
          <t>🔵</t>
        </is>
      </c>
      <c r="E12" t="inlineStr">
        <is>
          <t>🔵 一部実装（Booking__c 設置済・投影実行 P0-3）</t>
        </is>
      </c>
      <c r="F12" t="inlineStr">
        <is>
          <t>P0-3</t>
        </is>
      </c>
    </row>
    <row r="13">
      <c r="A13" t="inlineStr">
        <is>
          <t>TERM-10</t>
        </is>
      </c>
      <c r="B13" t="inlineStr">
        <is>
          <t>バージョン / Version</t>
        </is>
      </c>
      <c r="C13" t="inlineStr">
        <is>
          <t>Appointment.version・Booking__c.CurrentVersion__c・Booking_Command__c.ExpectedVersion__c / ResultVersion__c</t>
        </is>
      </c>
      <c r="D13" t="inlineStr">
        <is>
          <t>🔵</t>
        </is>
      </c>
      <c r="E13" t="inlineStr">
        <is>
          <t>🔵 一部実装（schema 設置済・ゲート実行 P0-3）</t>
        </is>
      </c>
      <c r="F13" t="inlineStr">
        <is>
          <t>P0-3</t>
        </is>
      </c>
    </row>
    <row r="14">
      <c r="A14" t="inlineStr">
        <is>
          <t>TERM-11</t>
        </is>
      </c>
      <c r="B14" t="inlineStr">
        <is>
          <t>コマンド / Booking Command</t>
        </is>
      </c>
      <c r="C14" t="inlineStr">
        <is>
          <t>Booking_Command__c</t>
        </is>
      </c>
      <c r="D14" t="inlineStr">
        <is>
          <t>🔵</t>
        </is>
      </c>
      <c r="E14" t="inlineStr">
        <is>
          <t>🔵 一部実装（Booking_Command__c 設置済・実行 P0-3/P0-4）</t>
        </is>
      </c>
      <c r="F14" t="inlineStr">
        <is>
          <t>P0-3/P0-4</t>
        </is>
      </c>
    </row>
    <row r="15">
      <c r="A15" t="inlineStr">
        <is>
          <t>TERM-12</t>
        </is>
      </c>
      <c r="B15" t="inlineStr">
        <is>
          <t>コマンドID / commandId</t>
        </is>
      </c>
      <c r="C15" t="inlineStr">
        <is>
          <t>Booking_Command__c.CommandId__c</t>
        </is>
      </c>
      <c r="D15" t="inlineStr">
        <is>
          <t>🔵</t>
        </is>
      </c>
      <c r="E15" t="inlineStr">
        <is>
          <t>🔵 未実装（P0 計画）</t>
        </is>
      </c>
      <c r="F15" t="inlineStr">
        <is>
          <t>P0-3/P0-4</t>
        </is>
      </c>
    </row>
    <row r="16">
      <c r="A16" t="inlineStr">
        <is>
          <t>TERM-13</t>
        </is>
      </c>
      <c r="B16" t="inlineStr">
        <is>
          <t>冪等性 / Idempotency</t>
        </is>
      </c>
      <c r="C16" t="inlineStr">
        <is>
          <t>（設計原則・個別物理名なし）</t>
        </is>
      </c>
      <c r="E16" t="inlineStr">
        <is>
          <t>設計原則（P0-2/P0-3 で適用）</t>
        </is>
      </c>
      <c r="F16" t="inlineStr">
        <is>
          <t>P0-2/P0-3</t>
        </is>
      </c>
    </row>
    <row r="17">
      <c r="A17" t="inlineStr">
        <is>
          <t>TERM-14</t>
        </is>
      </c>
      <c r="B17" t="inlineStr">
        <is>
          <t>外部ID / External ID</t>
        </is>
      </c>
      <c r="C17" t="inlineStr">
        <is>
          <t>Booking__c.BookingExternalId__c</t>
        </is>
      </c>
      <c r="D17" t="inlineStr">
        <is>
          <t>✅ 二択決定済（uuid `id`・CHK-01 C-1・2026-09-01）</t>
        </is>
      </c>
      <c r="E17" t="inlineStr">
        <is>
          <t>✅ 実装済（2026-09-02・BookingExternalId__c）</t>
        </is>
      </c>
      <c r="F17" t="inlineStr">
        <is>
          <t>P0-2</t>
        </is>
      </c>
    </row>
    <row r="18">
      <c r="A18" t="inlineStr">
        <is>
          <t>TERM-15</t>
        </is>
      </c>
      <c r="B18" t="inlineStr">
        <is>
          <t>予約番号 / appointmentNumber</t>
        </is>
      </c>
      <c r="C18" t="inlineStr">
        <is>
          <t>Appointment.appointmentNumber・Booking__c.AppointmentNumber__c</t>
        </is>
      </c>
      <c r="D18" t="inlineStr">
        <is>
          <t>🔵</t>
        </is>
      </c>
      <c r="E18" t="inlineStr">
        <is>
          <t>🔵 未実装（P0 計画）</t>
        </is>
      </c>
      <c r="F18" t="inlineStr">
        <is>
          <t>P0-3</t>
        </is>
      </c>
    </row>
    <row r="19">
      <c r="A19" t="inlineStr">
        <is>
          <t>TERM-16</t>
        </is>
      </c>
      <c r="B19" t="inlineStr">
        <is>
          <t>同期状態 / syncStatus</t>
        </is>
      </c>
      <c r="C19" t="inlineStr">
        <is>
          <t>Appointment.syncStatus・Booking__c.SyncStatus__c</t>
        </is>
      </c>
      <c r="D19" t="inlineStr">
        <is>
          <t>🔵</t>
        </is>
      </c>
      <c r="E19" t="inlineStr">
        <is>
          <t>🔵 一部実装（schema 設置済・同期実行 P0-3）</t>
        </is>
      </c>
      <c r="F19" t="inlineStr">
        <is>
          <t>P0-3</t>
        </is>
      </c>
    </row>
    <row r="20">
      <c r="A20" t="inlineStr">
        <is>
          <t>TERM-17</t>
        </is>
      </c>
      <c r="B20" t="inlineStr">
        <is>
          <t>相関ID / correlationId</t>
        </is>
      </c>
      <c r="C20" t="inlineStr">
        <is>
          <t>Booking__c.CorrelationId__c・Booking_Command__c.CorrelationId__c</t>
        </is>
      </c>
      <c r="D20" t="inlineStr">
        <is>
          <t>🔵</t>
        </is>
      </c>
      <c r="E20" t="inlineStr">
        <is>
          <t>🔵 未実装（P0 計画）</t>
        </is>
      </c>
      <c r="F20" t="inlineStr">
        <is>
          <t>P0-3</t>
        </is>
      </c>
    </row>
    <row r="21">
      <c r="A21" t="inlineStr">
        <is>
          <t>TERM-18</t>
        </is>
      </c>
      <c r="B21" t="inlineStr">
        <is>
          <t>イベントID / eventId</t>
        </is>
      </c>
      <c r="C21" t="inlineStr">
        <is>
          <t>Booking__c.LastEventId__c</t>
        </is>
      </c>
      <c r="D21" t="inlineStr">
        <is>
          <t>🔵</t>
        </is>
      </c>
      <c r="E21" t="inlineStr">
        <is>
          <t>🔵 未実装（P0 計画）</t>
        </is>
      </c>
      <c r="F21" t="inlineStr">
        <is>
          <t>P0-3</t>
        </is>
      </c>
    </row>
    <row r="22">
      <c r="A22" t="inlineStr">
        <is>
          <t>TERM-19</t>
        </is>
      </c>
      <c r="B22" t="inlineStr">
        <is>
          <t>Experience Cloud サイト / Experience Cloud Site</t>
        </is>
      </c>
      <c r="C22" t="inlineStr">
        <is>
          <t>（Site 名 my call center・/02・Live）</t>
        </is>
      </c>
      <c r="E22" t="inlineStr">
        <is>
          <t>✅ 構築済（P0-1）</t>
        </is>
      </c>
      <c r="F22" t="inlineStr">
        <is>
          <t>P0-1（完了）</t>
        </is>
      </c>
    </row>
    <row r="23">
      <c r="A23" t="inlineStr">
        <is>
          <t>TERM-20</t>
        </is>
      </c>
      <c r="B23" t="inlineStr">
        <is>
          <t>外部クライアントアプリケーション（ECA・OAuth 2.0 JWT ベアラー）</t>
        </is>
      </c>
      <c r="C23" t="inlineStr">
        <is>
          <t>ECA Booking_Integration_API（P0-3 で構成済み・2026-09-02 Connected App より移行）</t>
        </is>
      </c>
      <c r="D23" t="inlineStr">
        <is>
          <t>🔵</t>
        </is>
      </c>
      <c r="E23" t="inlineStr">
        <is>
          <t>🔵 未実装（P0 計画）</t>
        </is>
      </c>
      <c r="F23" t="inlineStr">
        <is>
          <t>P0-3</t>
        </is>
      </c>
    </row>
    <row r="24">
      <c r="A24" t="inlineStr">
        <is>
          <t>TERM-21</t>
        </is>
      </c>
      <c r="B24" t="inlineStr">
        <is>
          <t>Named Credential</t>
        </is>
      </c>
      <c r="C24" t="inlineStr">
        <is>
          <t>Booking_Integration_API（計画名）</t>
        </is>
      </c>
      <c r="D24" t="inlineStr">
        <is>
          <t>🔵</t>
        </is>
      </c>
      <c r="E24" t="inlineStr">
        <is>
          <t>🔵 未実装（P0 計画）</t>
        </is>
      </c>
      <c r="F24" t="inlineStr">
        <is>
          <t>P0-3</t>
        </is>
      </c>
    </row>
    <row r="25">
      <c r="A25" t="inlineStr">
        <is>
          <t>TERM-22</t>
        </is>
      </c>
      <c r="B25" t="inlineStr">
        <is>
          <t>Queueable / Queueable（Apex 非同期処理）</t>
        </is>
      </c>
      <c r="C25" t="inlineStr">
        <is>
          <t>BookingCommandQueueable（計画クラス名）</t>
        </is>
      </c>
      <c r="D25" t="inlineStr">
        <is>
          <t>🔵</t>
        </is>
      </c>
      <c r="E25" t="inlineStr">
        <is>
          <t>🔵 未実装（P0 計画）</t>
        </is>
      </c>
      <c r="F25" t="inlineStr">
        <is>
          <t>P0-3</t>
        </is>
      </c>
    </row>
    <row r="26">
      <c r="A26" t="inlineStr">
        <is>
          <t>TERM-23</t>
        </is>
      </c>
      <c r="B26" t="inlineStr">
        <is>
          <t>Integration Guard</t>
        </is>
      </c>
      <c r="C26" t="inlineStr">
        <is>
          <t>ガード実装（クラス名は P0-3 で確定）</t>
        </is>
      </c>
      <c r="D26" t="inlineStr">
        <is>
          <t>🔵</t>
        </is>
      </c>
      <c r="E26" t="inlineStr">
        <is>
          <t>🔵 未実装（P0 計画）</t>
        </is>
      </c>
      <c r="F26" t="inlineStr">
        <is>
          <t>P0-3</t>
        </is>
      </c>
    </row>
    <row r="27">
      <c r="A27" t="inlineStr">
        <is>
          <t>TERM-24</t>
        </is>
      </c>
      <c r="B27" t="inlineStr">
        <is>
          <t>投影入口 / BookingProjectionRest</t>
        </is>
      </c>
      <c r="C27" t="inlineStr">
        <is>
          <t>BookingProjectionRest（計画クラス名）</t>
        </is>
      </c>
      <c r="D27" t="inlineStr">
        <is>
          <t>🔵</t>
        </is>
      </c>
      <c r="E27" t="inlineStr">
        <is>
          <t>🔵 未実装（P0 計画）</t>
        </is>
      </c>
      <c r="F27" t="inlineStr">
        <is>
          <t>P0-3</t>
        </is>
      </c>
    </row>
    <row r="28">
      <c r="A28" t="inlineStr">
        <is>
          <t>TERM-25</t>
        </is>
      </c>
      <c r="B28" t="inlineStr">
        <is>
          <t>Site コントローラ / BookingSiteController</t>
        </is>
      </c>
      <c r="C28" t="inlineStr">
        <is>
          <t>BookingSiteController（計画クラス名）</t>
        </is>
      </c>
      <c r="D28" t="inlineStr">
        <is>
          <t>🔵</t>
        </is>
      </c>
      <c r="E28" t="inlineStr">
        <is>
          <t>🔵 未実装（P0 計画）</t>
        </is>
      </c>
      <c r="F28" t="inlineStr">
        <is>
          <t>P0-3</t>
        </is>
      </c>
    </row>
    <row r="29">
      <c r="A29" t="inlineStr">
        <is>
          <t>TERM-26</t>
        </is>
      </c>
      <c r="B29" t="inlineStr">
        <is>
          <t>静的操作者マッピング</t>
        </is>
      </c>
      <c r="C29" t="inlineStr">
        <is>
          <t>マッピングテーブル（P0-3 で確定・P1 計画名 SalesforceUserLink）</t>
        </is>
      </c>
      <c r="D29" t="inlineStr">
        <is>
          <t>🔵</t>
        </is>
      </c>
      <c r="E29" t="inlineStr">
        <is>
          <t>🔵 未実装（P0 計画）</t>
        </is>
      </c>
      <c r="F29" t="inlineStr">
        <is>
          <t>P0-3</t>
        </is>
      </c>
    </row>
    <row r="30">
      <c r="A30" t="inlineStr">
        <is>
          <t>TERM-27</t>
        </is>
      </c>
      <c r="B30" t="inlineStr">
        <is>
          <t>業務競合 / Business Conflict (409)</t>
        </is>
      </c>
      <c r="C30" t="inlineStr">
        <is>
          <t>HTTP 409</t>
        </is>
      </c>
      <c r="E30" t="inlineStr">
        <is>
          <t>✅ 既存</t>
        </is>
      </c>
      <c r="F30" t="inlineStr">
        <is>
          <t>P0-3</t>
        </is>
      </c>
    </row>
    <row r="31">
      <c r="A31" t="inlineStr">
        <is>
          <t>TERM-28</t>
        </is>
      </c>
      <c r="B31" t="inlineStr">
        <is>
          <t>一時的障害 / Temporary Failure (503/timeout)</t>
        </is>
      </c>
      <c r="C31" t="inlineStr">
        <is>
          <t>HTTP 503</t>
        </is>
      </c>
      <c r="E31" t="inlineStr">
        <is>
          <t>✅ 既存</t>
        </is>
      </c>
      <c r="F31" t="inlineStr">
        <is>
          <t>P0-3</t>
        </is>
      </c>
    </row>
    <row r="32">
      <c r="A32" t="inlineStr">
        <is>
          <t>TERM-29</t>
        </is>
      </c>
      <c r="B32" t="inlineStr">
        <is>
          <t>個人情報 / PII</t>
        </is>
      </c>
      <c r="C32" t="inlineStr">
        <is>
          <t>Appointment.customerName/customerPhone/customerEmail/customerWechat/notes（投影外）</t>
        </is>
      </c>
      <c r="E32" t="inlineStr">
        <is>
          <t>✅ 既存</t>
        </is>
      </c>
      <c r="F32" t="inlineStr">
        <is>
          <t>P0-3</t>
        </is>
      </c>
    </row>
    <row r="33">
      <c r="A33" t="inlineStr">
        <is>
          <t>TERM-30</t>
        </is>
      </c>
      <c r="B33" t="inlineStr">
        <is>
          <t>データ保持 / Retention</t>
        </is>
      </c>
      <c r="C33" t="inlineStr">
        <is>
          <t>retention モジュール</t>
        </is>
      </c>
      <c r="E33" t="inlineStr">
        <is>
          <t>✅ 既存</t>
        </is>
      </c>
      <c r="F33" t="inlineStr">
        <is>
          <t>既存（実装済）</t>
        </is>
      </c>
    </row>
    <row r="34">
      <c r="A34" t="inlineStr">
        <is>
          <t>TERM-31</t>
        </is>
      </c>
      <c r="B34" t="inlineStr">
        <is>
          <t>認証コード / Verification Code</t>
        </is>
      </c>
      <c r="C34" t="inlineStr">
        <is>
          <t>（Redis 保存・検証用データ）</t>
        </is>
      </c>
      <c r="E34" t="inlineStr">
        <is>
          <t>✅ 既存</t>
        </is>
      </c>
      <c r="F34" t="inlineStr">
        <is>
          <t>既存（実装済）</t>
        </is>
      </c>
    </row>
    <row r="35">
      <c r="A35" t="inlineStr">
        <is>
          <t>TERM-32</t>
        </is>
      </c>
      <c r="B35" t="inlineStr">
        <is>
          <t>共有設定 / Sharing Set（＋External OWD）</t>
        </is>
      </c>
      <c r="C35" t="inlineStr">
        <is>
          <t>Sharing Set 設定＋外部 OWD=Private</t>
        </is>
      </c>
      <c r="D35" t="inlineStr">
        <is>
          <t>🔵</t>
        </is>
      </c>
      <c r="E35" t="inlineStr">
        <is>
          <t>🔵 一部実装（P0-2：Sharing Set/OWD 済・P0-4 検証残）</t>
        </is>
      </c>
      <c r="F35" t="inlineStr">
        <is>
          <t>P0-2/P0-4</t>
        </is>
      </c>
    </row>
    <row r="36">
      <c r="A36" t="inlineStr">
        <is>
          <t>TERM-33</t>
        </is>
      </c>
      <c r="B36" t="inlineStr">
        <is>
          <t>LWC / Lightning Web コンポーネント</t>
        </is>
      </c>
      <c r="C36" t="inlineStr">
        <is>
          <t>LWC バンドル（P0-4 で命名）</t>
        </is>
      </c>
      <c r="D36" t="inlineStr">
        <is>
          <t>🔵</t>
        </is>
      </c>
      <c r="E36" t="inlineStr">
        <is>
          <t>🔵 未実装（P0 計画）</t>
        </is>
      </c>
      <c r="F36" t="inlineStr">
        <is>
          <t>P0-4</t>
        </is>
      </c>
    </row>
    <row r="37">
      <c r="A37" t="inlineStr">
        <is>
          <t>TERM-34</t>
        </is>
      </c>
      <c r="B37" t="inlineStr">
        <is>
          <t>Outbox（P1 計画）</t>
        </is>
      </c>
      <c r="C37" t="inlineStr">
        <is>
          <t>Outbox（P1 計画・物理名未確定）</t>
        </is>
      </c>
      <c r="D37" t="inlineStr">
        <is>
          <t>🔵</t>
        </is>
      </c>
      <c r="E37" t="inlineStr">
        <is>
          <t>⚪ P1 計画（未実装）</t>
        </is>
      </c>
      <c r="F37" t="inlineStr">
        <is>
          <t>P1</t>
        </is>
      </c>
    </row>
    <row r="38">
      <c r="A38" t="inlineStr">
        <is>
          <t>TERM-35</t>
        </is>
      </c>
      <c r="B38" t="inlineStr">
        <is>
          <t>コマンド状態 / Command Status</t>
        </is>
      </c>
      <c r="C38" t="inlineStr">
        <is>
          <t>Booking_Command__c.Status__c（QUEUED|RUNNING|SUCCEEDED|CONFLICT|FAILED）</t>
        </is>
      </c>
      <c r="D38" t="inlineStr">
        <is>
          <t>🔵</t>
        </is>
      </c>
      <c r="E38" t="inlineStr">
        <is>
          <t>🔵 未実装（P0 計画）</t>
        </is>
      </c>
      <c r="F38" t="inlineStr">
        <is>
          <t>P0-3/P0-4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5C8A"/>
    <outlinePr summaryBelow="1" summaryRight="1"/>
    <pageSetUpPr/>
  </sheetPr>
  <dimension ref="A1:G38"/>
  <sheetViews>
    <sheetView workbookViewId="0">
      <pane ySplit="3" topLeftCell="A4" activePane="bottomLeft" state="frozen"/>
      <selection activeCell="A1" sqref="A1"/>
      <selection pane="bottomLeft" activeCell="J32" sqref="J32"/>
    </sheetView>
  </sheetViews>
  <sheetFormatPr baseColWidth="8" defaultColWidth="9" defaultRowHeight="13.5"/>
  <cols>
    <col width="12" customWidth="1" min="1" max="1"/>
    <col width="46.125" customWidth="1" min="2" max="2"/>
    <col width="65.25" customWidth="1" min="3" max="3"/>
    <col width="25.375" customWidth="1" min="4" max="4"/>
    <col width="64.125" customWidth="1" min="5" max="5"/>
    <col width="30" customWidth="1" min="6" max="6"/>
  </cols>
  <sheetData>
    <row r="1" ht="14.25" customHeight="1">
      <c r="A1" s="19" t="inlineStr">
        <is>
          <t>I/F・コード・共通機能・認証境界一覧</t>
        </is>
      </c>
    </row>
    <row r="2">
      <c r="A2" s="20" t="inlineStr">
        <is>
          <t>出典：BD-09 §2（IF）／BD-08 §2（CD）／BD-11 §2（CF）／BD-01 §4（A1〜A4）。ID 台账 §2.3 の各系列を一括収容。</t>
        </is>
      </c>
    </row>
    <row r="4">
      <c r="A4" s="22" t="inlineStr">
        <is>
          <t>■ I/F 一覧（IF・2 件）</t>
        </is>
      </c>
      <c r="B4" s="23" t="n"/>
      <c r="C4" s="23" t="n"/>
      <c r="D4" s="23" t="n"/>
      <c r="E4" s="23" t="n"/>
    </row>
    <row r="5">
      <c r="A5" s="21" t="inlineStr">
        <is>
          <t>I/F ID</t>
        </is>
      </c>
      <c r="B5" s="21" t="inlineStr">
        <is>
          <t>名称</t>
        </is>
      </c>
      <c r="C5" s="21" t="inlineStr">
        <is>
          <t>方向</t>
        </is>
      </c>
      <c r="D5" s="21" t="inlineStr">
        <is>
          <t>対応機能</t>
        </is>
      </c>
      <c r="E5" s="21" t="inlineStr">
        <is>
          <t>認証</t>
        </is>
      </c>
      <c r="F5" s="21" t="inlineStr">
        <is>
          <t>实施状态</t>
        </is>
      </c>
      <c r="G5" s="21" t="inlineStr">
        <is>
          <t>工程</t>
        </is>
      </c>
    </row>
    <row r="6">
      <c r="A6" t="inlineStr">
        <is>
          <t>IF-01</t>
        </is>
      </c>
      <c r="B6" t="inlineStr">
        <is>
          <t>予約投影</t>
        </is>
      </c>
      <c r="C6" t="inlineStr">
        <is>
          <t>Booking → Salesforce</t>
        </is>
      </c>
      <c r="D6" t="inlineStr">
        <is>
          <t>F-20</t>
        </is>
      </c>
      <c r="E6" t="inlineStr">
        <is>
          <t>OAuth 2.0 JWT Bearer（ECA・A2）</t>
        </is>
      </c>
      <c r="F6" t="inlineStr">
        <is>
          <t>未着手（P0-3 計画）</t>
        </is>
      </c>
      <c r="G6" t="inlineStr">
        <is>
          <t>P0-3</t>
        </is>
      </c>
    </row>
    <row r="7">
      <c r="A7" t="inlineStr">
        <is>
          <t>IF-02</t>
        </is>
      </c>
      <c r="B7" t="inlineStr">
        <is>
          <t>予約キャンセルコマンド</t>
        </is>
      </c>
      <c r="C7" t="inlineStr">
        <is>
          <t>Salesforce → Booking</t>
        </is>
      </c>
      <c r="D7" t="inlineStr">
        <is>
          <t>F-25</t>
        </is>
      </c>
      <c r="E7" t="inlineStr">
        <is>
          <t>Named Credential（Bearer secret）＋Integration Guard（A3）</t>
        </is>
      </c>
      <c r="F7" t="inlineStr">
        <is>
          <t>未着手（P0-3 計画）</t>
        </is>
      </c>
      <c r="G7" t="inlineStr">
        <is>
          <t>P0-3</t>
        </is>
      </c>
    </row>
    <row r="9">
      <c r="A9" s="22" t="inlineStr">
        <is>
          <t>■ コード一覧（CD・11 件）</t>
        </is>
      </c>
      <c r="B9" s="23" t="n"/>
      <c r="C9" s="23" t="n"/>
      <c r="D9" s="23" t="n"/>
      <c r="E9" s="23" t="n"/>
    </row>
    <row r="10">
      <c r="A10" s="21" t="inlineStr">
        <is>
          <t>コードID</t>
        </is>
      </c>
      <c r="B10" s="21" t="inlineStr">
        <is>
          <t>名称・物理名</t>
        </is>
      </c>
      <c r="C10" s="21" t="inlineStr">
        <is>
          <t>値域と各値の意味（要約）</t>
        </is>
      </c>
      <c r="D10" s="21" t="inlineStr">
        <is>
          <t>分類</t>
        </is>
      </c>
      <c r="E10" s="21" t="inlineStr">
        <is>
          <t>備考</t>
        </is>
      </c>
      <c r="F10" s="21" t="inlineStr">
        <is>
          <t>实施状态</t>
        </is>
      </c>
      <c r="G10" s="21" t="inlineStr">
        <is>
          <t>工程</t>
        </is>
      </c>
    </row>
    <row r="11">
      <c r="A11" t="inlineStr">
        <is>
          <t>CD-01</t>
        </is>
      </c>
      <c r="B11" t="inlineStr">
        <is>
          <t>ユーザー種別・UserType</t>
        </is>
      </c>
      <c r="C11" t="inlineStr">
        <is>
          <t>CUSTOMER／ADMIN</t>
        </is>
      </c>
      <c r="D11" t="inlineStr">
        <is>
          <t>業務コード</t>
        </is>
      </c>
      <c r="F11" t="inlineStr">
        <is>
          <t>✅ 既存実装（Prisma enum）</t>
        </is>
      </c>
      <c r="G11" t="inlineStr">
        <is>
          <t>既存（実装済）</t>
        </is>
      </c>
    </row>
    <row r="12">
      <c r="A12" t="inlineStr">
        <is>
          <t>CD-02</t>
        </is>
      </c>
      <c r="B12" t="inlineStr">
        <is>
          <t>ユーザー状態・UserStatus</t>
        </is>
      </c>
      <c r="C12" t="inlineStr">
        <is>
          <t>ACTIVE／INACTIVE／BLOCKED</t>
        </is>
      </c>
      <c r="D12" t="inlineStr">
        <is>
          <t>業務コード</t>
        </is>
      </c>
      <c r="F12" t="inlineStr">
        <is>
          <t>✅ 既存実装（Prisma enum）</t>
        </is>
      </c>
      <c r="G12" t="inlineStr">
        <is>
          <t>既存（実装済）</t>
        </is>
      </c>
    </row>
    <row r="13">
      <c r="A13" t="inlineStr">
        <is>
          <t>CD-03</t>
        </is>
      </c>
      <c r="B13" t="inlineStr">
        <is>
          <t>予約状態・AppointmentStatus</t>
        </is>
      </c>
      <c r="C13" t="inlineStr">
        <is>
          <t>PENDING／CONFIRMED／CANCELLED（終状態）／COMPLETED（終状態）</t>
        </is>
      </c>
      <c r="D13" t="inlineStr">
        <is>
          <t>業務コード</t>
        </is>
      </c>
      <c r="E13" t="inlineStr">
        <is>
          <t>IF-01 §3.6・IF-02 409 判定</t>
        </is>
      </c>
      <c r="F13" t="inlineStr">
        <is>
          <t>✅ 既存実装（Prisma enum）</t>
        </is>
      </c>
      <c r="G13" t="inlineStr">
        <is>
          <t>既存（実装済）</t>
        </is>
      </c>
    </row>
    <row r="14">
      <c r="A14" t="inlineStr">
        <is>
          <t>CD-04</t>
        </is>
      </c>
      <c r="B14" t="inlineStr">
        <is>
          <t>通知種別・NotificationType</t>
        </is>
      </c>
      <c r="C14" t="inlineStr">
        <is>
          <t>SMS／EMAIL／WECHAT／PUSH</t>
        </is>
      </c>
      <c r="D14" t="inlineStr">
        <is>
          <t>業務コード</t>
        </is>
      </c>
      <c r="F14" t="inlineStr">
        <is>
          <t>✅ 既存実装（Prisma enum）</t>
        </is>
      </c>
      <c r="G14" t="inlineStr">
        <is>
          <t>既存（実装済）</t>
        </is>
      </c>
    </row>
    <row r="15">
      <c r="A15" t="inlineStr">
        <is>
          <t>CD-05</t>
        </is>
      </c>
      <c r="B15" t="inlineStr">
        <is>
          <t>通知状態・NotificationStatus</t>
        </is>
      </c>
      <c r="C15" t="inlineStr">
        <is>
          <t>PENDING／SENT／FAILED／CANCELLED</t>
        </is>
      </c>
      <c r="D15" t="inlineStr">
        <is>
          <t>業務コード</t>
        </is>
      </c>
      <c r="F15" t="inlineStr">
        <is>
          <t>✅ 既存実装（Prisma enum）</t>
        </is>
      </c>
      <c r="G15" t="inlineStr">
        <is>
          <t>既存（実装済）</t>
        </is>
      </c>
    </row>
    <row r="16">
      <c r="A16" t="inlineStr">
        <is>
          <t>CD-06</t>
        </is>
      </c>
      <c r="B16" t="inlineStr">
        <is>
          <t>同期状態・syncStatus</t>
        </is>
      </c>
      <c r="C16" t="inlineStr">
        <is>
          <t>PENDING／SYNCED／ERROR</t>
        </is>
      </c>
      <c r="D16" t="inlineStr">
        <is>
          <t>システム内部コード</t>
        </is>
      </c>
      <c r="E16" t="inlineStr">
        <is>
          <t>✅ P0-2 実装（schema migration）</t>
        </is>
      </c>
      <c r="F16" t="inlineStr">
        <is>
          <t>✅ 実装済（2026-09-02・migration）</t>
        </is>
      </c>
      <c r="G16" t="inlineStr">
        <is>
          <t>P0-2</t>
        </is>
      </c>
    </row>
    <row r="17">
      <c r="A17" t="inlineStr">
        <is>
          <t>CD-07</t>
        </is>
      </c>
      <c r="B17" t="inlineStr">
        <is>
          <t>投影状態・Booking__c.Status__c</t>
        </is>
      </c>
      <c r="C17" t="inlineStr">
        <is>
          <t>CD-03 と同一 canonical 値</t>
        </is>
      </c>
      <c r="D17" t="inlineStr">
        <is>
          <t>業務コード（投影複製値）</t>
        </is>
      </c>
      <c r="E17" t="inlineStr">
        <is>
          <t>✅ P0-2 実装（SF 側）</t>
        </is>
      </c>
      <c r="F17" t="inlineStr">
        <is>
          <t>✅ 実装済（2026-09-02・SF 側）</t>
        </is>
      </c>
      <c r="G17" t="inlineStr">
        <is>
          <t>P0-2</t>
        </is>
      </c>
    </row>
    <row r="18">
      <c r="A18" t="inlineStr">
        <is>
          <t>CD-08</t>
        </is>
      </c>
      <c r="B18" t="inlineStr">
        <is>
          <t>コマンド状態・Booking_Command__c.Status__c</t>
        </is>
      </c>
      <c r="C18" t="inlineStr">
        <is>
          <t>QUEUED→RUNNING→SUCCEEDED／CONFLICT／FAILED（終状態）</t>
        </is>
      </c>
      <c r="D18" t="inlineStr">
        <is>
          <t>システム内部コード</t>
        </is>
      </c>
      <c r="E18" t="inlineStr">
        <is>
          <t>✅ P0-2 実装（SF 側）</t>
        </is>
      </c>
      <c r="F18" t="inlineStr">
        <is>
          <t>✅ 実装済（2026-09-02・SF 側）</t>
        </is>
      </c>
      <c r="G18" t="inlineStr">
        <is>
          <t>P0-2</t>
        </is>
      </c>
    </row>
    <row r="19">
      <c r="A19" t="inlineStr">
        <is>
          <t>CD-09</t>
        </is>
      </c>
      <c r="B19" t="inlineStr">
        <is>
          <t>設定型別・SettingType</t>
        </is>
      </c>
      <c r="C19" t="inlineStr">
        <is>
          <t>STRING／NUMBER／BOOLEAN／JSON</t>
        </is>
      </c>
      <c r="D19" t="inlineStr">
        <is>
          <t>システム内部コード</t>
        </is>
      </c>
      <c r="E19" t="inlineStr">
        <is>
          <t>対応端点は現状不可用</t>
        </is>
      </c>
      <c r="F19" t="inlineStr">
        <is>
          <t>✅ 既存実装（Prisma enum）</t>
        </is>
      </c>
      <c r="G19" t="inlineStr">
        <is>
          <t>既存（実装済）</t>
        </is>
      </c>
    </row>
    <row r="20">
      <c r="A20" t="inlineStr">
        <is>
          <t>CD-10</t>
        </is>
      </c>
      <c r="B20" t="inlineStr">
        <is>
          <t>設定分類・SettingCategory</t>
        </is>
      </c>
      <c r="C20" t="inlineStr">
        <is>
          <t>GENERAL／SECURITY／BUSINESS／SYSTEM</t>
        </is>
      </c>
      <c r="D20" t="inlineStr">
        <is>
          <t>システム内部コード</t>
        </is>
      </c>
      <c r="F20" t="inlineStr">
        <is>
          <t>✅ 既存実装（Prisma enum）</t>
        </is>
      </c>
      <c r="G20" t="inlineStr">
        <is>
          <t>既存（実装済）</t>
        </is>
      </c>
    </row>
    <row r="21">
      <c r="A21" t="inlineStr">
        <is>
          <t>CD-11</t>
        </is>
      </c>
      <c r="B21" t="inlineStr">
        <is>
          <t>予約操作・AppointmentAction</t>
        </is>
      </c>
      <c r="C21" t="inlineStr">
        <is>
          <t>CREATE／UPDATE／CONFIRM／CANCEL／COMPLETE</t>
        </is>
      </c>
      <c r="D21" t="inlineStr">
        <is>
          <t>システム内部コード</t>
        </is>
      </c>
      <c r="E21" t="inlineStr">
        <is>
          <t>参照先なし・既知課題</t>
        </is>
      </c>
      <c r="F21" t="inlineStr">
        <is>
          <t>✅ 既存実装（Prisma enum）</t>
        </is>
      </c>
      <c r="G21" t="inlineStr">
        <is>
          <t>既存（実装済）</t>
        </is>
      </c>
    </row>
    <row r="23">
      <c r="A23" s="22" t="inlineStr">
        <is>
          <t>■ 共通機能一覧（CF・7 件）</t>
        </is>
      </c>
      <c r="B23" s="23" t="n"/>
      <c r="C23" s="23" t="n"/>
      <c r="D23" s="23" t="n"/>
      <c r="E23" s="23" t="n"/>
    </row>
    <row r="24">
      <c r="A24" s="21" t="inlineStr">
        <is>
          <t>共通機能ID</t>
        </is>
      </c>
      <c r="B24" s="21" t="inlineStr">
        <is>
          <t>名称</t>
        </is>
      </c>
      <c r="C24" s="21" t="inlineStr">
        <is>
          <t>対応 NFR</t>
        </is>
      </c>
      <c r="D24" s="21" t="inlineStr">
        <is>
          <t>状態</t>
        </is>
      </c>
      <c r="E24" s="21" t="inlineStr">
        <is>
          <t>備考</t>
        </is>
      </c>
      <c r="F24" s="21" t="inlineStr">
        <is>
          <t>实施状态</t>
        </is>
      </c>
      <c r="G24" s="21" t="inlineStr">
        <is>
          <t>工程</t>
        </is>
      </c>
    </row>
    <row r="25">
      <c r="A25" t="inlineStr">
        <is>
          <t>CF-01</t>
        </is>
      </c>
      <c r="B25" t="inlineStr">
        <is>
          <t>認証・認可</t>
        </is>
      </c>
      <c r="C25" t="inlineStr">
        <is>
          <t>NFR-04・NFR-05</t>
        </is>
      </c>
      <c r="D25" t="inlineStr">
        <is>
          <t>✅（連携側拡張 🔵）</t>
        </is>
      </c>
      <c r="E25" t="inlineStr">
        <is>
          <t>NestJS Guard・APP_GUARD</t>
        </is>
      </c>
      <c r="F25" t="inlineStr">
        <is>
          <t>✅ 既存実装</t>
        </is>
      </c>
      <c r="G25" t="inlineStr">
        <is>
          <t>既存（実装済）</t>
        </is>
      </c>
    </row>
    <row r="26">
      <c r="A26" t="inlineStr">
        <is>
          <t>CF-02</t>
        </is>
      </c>
      <c r="B26" t="inlineStr">
        <is>
          <t>トークン無効化</t>
        </is>
      </c>
      <c r="C26" t="inlineStr">
        <is>
          <t>NFR-04</t>
        </is>
      </c>
      <c r="D26" t="inlineStr">
        <is>
          <t>✅</t>
        </is>
      </c>
      <c r="E26" t="inlineStr">
        <is>
          <t>Redis ブラックリスト</t>
        </is>
      </c>
      <c r="F26" t="inlineStr">
        <is>
          <t>✅ 既存実装</t>
        </is>
      </c>
      <c r="G26" t="inlineStr">
        <is>
          <t>既存（実装済）</t>
        </is>
      </c>
    </row>
    <row r="27">
      <c r="A27" t="inlineStr">
        <is>
          <t>CF-03</t>
        </is>
      </c>
      <c r="B27" t="inlineStr">
        <is>
          <t>エラーレスポンス</t>
        </is>
      </c>
      <c r="C27" t="inlineStr">
        <is>
          <t>NFR-05・NFR-09</t>
        </is>
      </c>
      <c r="D27" t="inlineStr">
        <is>
          <t>✅ Booking／🔵 連携</t>
        </is>
      </c>
      <c r="E27" t="inlineStr">
        <is>
          <t>409/503/401/403 の区分共有</t>
        </is>
      </c>
      <c r="F27" t="inlineStr">
        <is>
          <t>✅ 既存実装</t>
        </is>
      </c>
      <c r="G27" t="inlineStr">
        <is>
          <t>既存（実装済）</t>
        </is>
      </c>
    </row>
    <row r="28">
      <c r="A28" t="inlineStr">
        <is>
          <t>CF-04</t>
        </is>
      </c>
      <c r="B28" t="inlineStr">
        <is>
          <t>ログ出力</t>
        </is>
      </c>
      <c r="C28" t="inlineStr">
        <is>
          <t>NFR-07</t>
        </is>
      </c>
      <c r="D28" t="inlineStr">
        <is>
          <t>✅</t>
        </is>
      </c>
      <c r="E28" t="inlineStr">
        <is>
          <t>ActivityLog／SystemLog</t>
        </is>
      </c>
      <c r="F28" t="inlineStr">
        <is>
          <t>✅ 既存実装</t>
        </is>
      </c>
      <c r="G28" t="inlineStr">
        <is>
          <t>既存（実装済）</t>
        </is>
      </c>
    </row>
    <row r="29">
      <c r="A29" t="inlineStr">
        <is>
          <t>CF-05</t>
        </is>
      </c>
      <c r="B29" t="inlineStr">
        <is>
          <t>採番（eventId・correlationId・commandId）</t>
        </is>
      </c>
      <c r="C29" t="inlineStr">
        <is>
          <t>NFR-07</t>
        </is>
      </c>
      <c r="D29" t="inlineStr">
        <is>
          <t>🔵 P0-2/P0-3 計画</t>
        </is>
      </c>
      <c r="E29" t="inlineStr">
        <is>
          <t>一意性のみ・順序性なし</t>
        </is>
      </c>
      <c r="F29" t="inlineStr">
        <is>
          <t>🔵 P0-2/P0-3 計画</t>
        </is>
      </c>
      <c r="G29" t="inlineStr">
        <is>
          <t>P0-2/P0-3</t>
        </is>
      </c>
    </row>
    <row r="30">
      <c r="A30" t="inlineStr">
        <is>
          <t>CF-06</t>
        </is>
      </c>
      <c r="B30" t="inlineStr">
        <is>
          <t>日付・タイムゾーン処理</t>
        </is>
      </c>
      <c r="C30" t="inlineStr">
        <is>
          <t>NFR-07（間接）</t>
        </is>
      </c>
      <c r="D30" t="inlineStr">
        <is>
          <t>✅（規約化 🔵）</t>
        </is>
      </c>
      <c r="E30" t="inlineStr">
        <is>
          <t>フロント JST・バックエンド UTC</t>
        </is>
      </c>
      <c r="F30" t="inlineStr">
        <is>
          <t>✅ 既存実装</t>
        </is>
      </c>
      <c r="G30" t="inlineStr">
        <is>
          <t>既存（実装済）</t>
        </is>
      </c>
    </row>
    <row r="31">
      <c r="A31" t="inlineStr">
        <is>
          <t>CF-07</t>
        </is>
      </c>
      <c r="B31" t="inlineStr">
        <is>
          <t>保持・削除</t>
        </is>
      </c>
      <c r="C31" t="inlineStr">
        <is>
          <t>NFR-11・NFR-14</t>
        </is>
      </c>
      <c r="D31" t="inlineStr">
        <is>
          <t>✅</t>
        </is>
      </c>
      <c r="E31" t="inlineStr">
        <is>
          <t>retention：CronJob＋deleteMany</t>
        </is>
      </c>
      <c r="F31" t="inlineStr">
        <is>
          <t>✅ 既存実装</t>
        </is>
      </c>
      <c r="G31" t="inlineStr">
        <is>
          <t>既存（実装済）</t>
        </is>
      </c>
    </row>
    <row r="33">
      <c r="A33" s="22" t="inlineStr">
        <is>
          <t>■ 認証境界（A・4 件）</t>
        </is>
      </c>
      <c r="B33" s="23" t="n"/>
      <c r="C33" s="23" t="n"/>
      <c r="D33" s="23" t="n"/>
      <c r="E33" s="23" t="n"/>
    </row>
    <row r="34">
      <c r="A34" s="21" t="inlineStr">
        <is>
          <t>ID</t>
        </is>
      </c>
      <c r="B34" s="21" t="inlineStr">
        <is>
          <t>経路</t>
        </is>
      </c>
      <c r="C34" s="21" t="inlineStr">
        <is>
          <t>認証手段</t>
        </is>
      </c>
      <c r="D34" s="21" t="inlineStr">
        <is>
          <t>対応 I/F</t>
        </is>
      </c>
      <c r="E34" s="21" t="inlineStr">
        <is>
          <t>備考</t>
        </is>
      </c>
      <c r="F34" s="21" t="inlineStr">
        <is>
          <t>实施状态</t>
        </is>
      </c>
      <c r="G34" s="21" t="inlineStr">
        <is>
          <t>工程</t>
        </is>
      </c>
    </row>
    <row r="35">
      <c r="A35" t="inlineStr">
        <is>
          <t>A1</t>
        </is>
      </c>
      <c r="B35" t="inlineStr">
        <is>
          <t>顧客／管理者 → Booking API</t>
        </is>
      </c>
      <c r="C35" t="inlineStr">
        <is>
          <t>JWT（HttpOnly Cookie）＋6 桁認証コード・DB ロール参照</t>
        </is>
      </c>
      <c r="D35" t="inlineStr">
        <is>
          <t>—</t>
        </is>
      </c>
      <c r="E35" t="inlineStr">
        <is>
          <t>✅ 実装済</t>
        </is>
      </c>
      <c r="F35" t="inlineStr">
        <is>
          <t>✅ 実装済</t>
        </is>
      </c>
      <c r="G35" t="inlineStr">
        <is>
          <t>既存（実装済）</t>
        </is>
      </c>
    </row>
    <row r="36">
      <c r="A36" t="inlineStr">
        <is>
          <t>A2</t>
        </is>
      </c>
      <c r="B36" t="inlineStr">
        <is>
          <t>Booking サービス → Salesforce</t>
        </is>
      </c>
      <c r="C36" t="inlineStr">
        <is>
          <t>OAuth 2.0 JWT Bearer（ECA・2026-09-02 Connected App より移行）</t>
        </is>
      </c>
      <c r="D36" t="inlineStr">
        <is>
          <t>IF-01</t>
        </is>
      </c>
      <c r="E36" t="inlineStr">
        <is>
          <t>🔵 P0-3</t>
        </is>
      </c>
      <c r="F36" t="inlineStr">
        <is>
          <t>🔵 P0-3 計画</t>
        </is>
      </c>
      <c r="G36" t="inlineStr">
        <is>
          <t>P0-3</t>
        </is>
      </c>
    </row>
    <row r="37">
      <c r="A37" t="inlineStr">
        <is>
          <t>A3</t>
        </is>
      </c>
      <c r="B37" t="inlineStr">
        <is>
          <t>Salesforce Queueable → Booking API</t>
        </is>
      </c>
      <c r="C37" t="inlineStr">
        <is>
          <t>Named Credential＋Integration Guard</t>
        </is>
      </c>
      <c r="D37" t="inlineStr">
        <is>
          <t>IF-02</t>
        </is>
      </c>
      <c r="E37" t="inlineStr">
        <is>
          <t>🔵 P0-3</t>
        </is>
      </c>
      <c r="F37" t="inlineStr">
        <is>
          <t>🔵 P0-3 計画</t>
        </is>
      </c>
      <c r="G37" t="inlineStr">
        <is>
          <t>P0-3</t>
        </is>
      </c>
    </row>
    <row r="38">
      <c r="A38" t="inlineStr">
        <is>
          <t>A4</t>
        </is>
      </c>
      <c r="B38" t="inlineStr">
        <is>
          <t>管理者 → Experience Site</t>
        </is>
      </c>
      <c r="C38" t="inlineStr">
        <is>
          <t>外部ユーザー認証情報の独立ログイン（遷移＝SSO ではない）</t>
        </is>
      </c>
      <c r="D38" t="inlineStr">
        <is>
          <t>—</t>
        </is>
      </c>
      <c r="E38" t="inlineStr">
        <is>
          <t>遷移 🔵 P0-4／ログイン ✅ MV-03</t>
        </is>
      </c>
      <c r="F38" t="inlineStr">
        <is>
          <t>遷移 🔵 P0-4／ログイン ✅</t>
        </is>
      </c>
      <c r="G38" t="inlineStr">
        <is>
          <t>既存/P0-4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5C8A"/>
    <outlinePr summaryBelow="1" summaryRight="1"/>
    <pageSetUpPr/>
  </sheetPr>
  <dimension ref="A1:H14"/>
  <sheetViews>
    <sheetView workbookViewId="0">
      <pane ySplit="3" topLeftCell="A4" activePane="bottomLeft" state="frozen"/>
      <selection activeCell="A1" sqref="A1"/>
      <selection pane="bottomLeft" activeCell="C11" sqref="C11"/>
    </sheetView>
  </sheetViews>
  <sheetFormatPr baseColWidth="8" defaultColWidth="9" defaultRowHeight="13.5"/>
  <cols>
    <col width="9.5" customWidth="1" min="1" max="1"/>
    <col width="72.625" customWidth="1" min="2" max="2"/>
    <col width="17.875" customWidth="1" min="3" max="3"/>
    <col width="31.25" customWidth="1" min="4" max="4"/>
    <col width="18.75" customWidth="1" min="5" max="5"/>
    <col width="39.75" customWidth="1" min="6" max="6"/>
    <col width="32" customWidth="1" min="7" max="7"/>
  </cols>
  <sheetData>
    <row r="1" ht="14.25" customHeight="1">
      <c r="A1" s="19" t="inlineStr">
        <is>
          <t>最小検証マトリクス一覧（experience-site-mvp-validation.md §4 出典）</t>
        </is>
      </c>
    </row>
    <row r="2">
      <c r="A2" s="20" t="inlineStr">
        <is>
          <t>対応 TC 数は 10.TC一覧 E 列（対応MV）からの COUNTIF 集計。MV-01〜03 はブラウザ検証のため自動化 TC を持たない（式は 0 を返す・テンプレートの仕様上の正常系）。出典：experience-site-mvp-validation.md §4</t>
        </is>
      </c>
    </row>
    <row r="3">
      <c r="A3" s="21" t="inlineStr">
        <is>
          <t>MV ID</t>
        </is>
      </c>
      <c r="B3" s="21" t="inlineStr">
        <is>
          <t>内容</t>
        </is>
      </c>
      <c r="C3" s="21" t="inlineStr">
        <is>
          <t>主対応 F</t>
        </is>
      </c>
      <c r="D3" s="21" t="inlineStr">
        <is>
          <t>方式</t>
        </is>
      </c>
      <c r="E3" s="21" t="inlineStr">
        <is>
          <t>対応 TC 数（式）</t>
        </is>
      </c>
      <c r="F3" s="21" t="inlineStr">
        <is>
          <t>対応 TC・備考</t>
        </is>
      </c>
      <c r="G3" s="21" t="inlineStr">
        <is>
          <t>实施状态</t>
        </is>
      </c>
      <c r="H3" s="21" t="inlineStr">
        <is>
          <t>工程</t>
        </is>
      </c>
    </row>
    <row r="4" ht="17" customHeight="1">
      <c r="A4" t="inlineStr">
        <is>
          <t>MV-01</t>
        </is>
      </c>
      <c r="B4" t="inlineStr">
        <is>
          <t>普通用户边界：顧客に Salesforce 入口が見えず、管理 API も 403</t>
        </is>
      </c>
      <c r="C4" t="inlineStr">
        <is>
          <t>Booking 既存機能</t>
        </is>
      </c>
      <c r="D4" t="inlineStr">
        <is>
          <t>真实链路（ブラウザ）</t>
        </is>
      </c>
      <c r="E4">
        <f>IF($A4="","",COUNTIF('10.TC一覧'!$E$4:$E$31,"*"&amp;$A4&amp;"*"))</f>
        <v/>
      </c>
      <c r="F4" t="inlineStr">
        <is>
          <t>自動化 TC なし（NFR-05 後半の実測）</t>
        </is>
      </c>
      <c r="G4" t="inlineStr">
        <is>
          <t>未実施（P0-4 ブラウザ検証）</t>
        </is>
      </c>
      <c r="H4" t="inlineStr">
        <is>
          <t>P0-4/P0-5（証跡）</t>
        </is>
      </c>
    </row>
    <row r="5" ht="17" customHeight="1">
      <c r="A5" t="inlineStr">
        <is>
          <t>MV-02</t>
        </is>
      </c>
      <c r="B5" t="inlineStr">
        <is>
          <t>管理员入口：入口ボタンで Experience Site へ遷移</t>
        </is>
      </c>
      <c r="C5" t="inlineStr">
        <is>
          <t>F-21</t>
        </is>
      </c>
      <c r="D5" t="inlineStr">
        <is>
          <t>真实链路（P0-4）</t>
        </is>
      </c>
      <c r="E5">
        <f>IF($A5="","",COUNTIF('10.TC一覧'!$E$4:$E$31,"*"&amp;$A5&amp;"*"))</f>
        <v/>
      </c>
      <c r="F5" t="inlineStr">
        <is>
          <t>自動化 TC なし（RULE-16 の描画判定）</t>
        </is>
      </c>
      <c r="G5" t="inlineStr">
        <is>
          <t>未実施（P0-4）</t>
        </is>
      </c>
      <c r="H5" t="inlineStr">
        <is>
          <t>P0-4</t>
        </is>
      </c>
    </row>
    <row r="6" ht="17" customHeight="1">
      <c r="A6" t="inlineStr">
        <is>
          <t>MV-03</t>
        </is>
      </c>
      <c r="B6" t="inlineStr">
        <is>
          <t>独立登录：外部ユーザーが Site に独立ログイン</t>
        </is>
      </c>
      <c r="C6" t="inlineStr">
        <is>
          <t>F-22</t>
        </is>
      </c>
      <c r="D6" t="inlineStr">
        <is>
          <t>真实链路</t>
        </is>
      </c>
      <c r="E6">
        <f>IF($A6="","",COUNTIF('10.TC一覧'!$E$4:$E$31,"*"&amp;$A6&amp;"*"))</f>
        <v/>
      </c>
      <c r="F6" t="inlineStr">
        <is>
          <t>✅ 検証済（ログイン部分・2026-08-31）</t>
        </is>
      </c>
      <c r="G6" t="inlineStr">
        <is>
          <t>✅ 検証済（ログイン部分・2026-08-31）</t>
        </is>
      </c>
      <c r="H6" t="inlineStr">
        <is>
          <t>P0-1（完了）/P0-4</t>
        </is>
      </c>
    </row>
    <row r="7" ht="17" customHeight="1">
      <c r="A7" t="inlineStr">
        <is>
          <t>MV-04</t>
        </is>
      </c>
      <c r="B7" t="inlineStr">
        <is>
          <t>首次投影：予約作成で Booking__c 1 件・External ID と version 正しい</t>
        </is>
      </c>
      <c r="C7" t="inlineStr">
        <is>
          <t>F-20</t>
        </is>
      </c>
      <c r="D7" t="inlineStr">
        <is>
          <t>真实链路＋自動</t>
        </is>
      </c>
      <c r="E7">
        <f>IF($A7="","",COUNTIF('10.TC一覧'!$E$4:$E$31,"*"&amp;$A7&amp;"*"))</f>
        <v/>
      </c>
      <c r="F7" t="inlineStr">
        <is>
          <t>TC-01・TC-06</t>
        </is>
      </c>
      <c r="G7" t="inlineStr">
        <is>
          <t>未実施（P0-3 自動化）</t>
        </is>
      </c>
      <c r="H7" t="inlineStr">
        <is>
          <t>P0-3</t>
        </is>
      </c>
    </row>
    <row r="8" ht="17" customHeight="1">
      <c r="A8" t="inlineStr">
        <is>
          <t>MV-05</t>
        </is>
      </c>
      <c r="B8" t="inlineStr">
        <is>
          <t>投影幂等/乱序：同一イベント再送で増えず・旧 version は拒否</t>
        </is>
      </c>
      <c r="C8" t="inlineStr">
        <is>
          <t>F-20</t>
        </is>
      </c>
      <c r="D8" t="inlineStr">
        <is>
          <t>自動化</t>
        </is>
      </c>
      <c r="E8">
        <f>IF($A8="","",COUNTIF('10.TC一覧'!$E$4:$E$31,"*"&amp;$A8&amp;"*"))</f>
        <v/>
      </c>
      <c r="F8" t="inlineStr">
        <is>
          <t>TC-02・TC-03・TC-04</t>
        </is>
      </c>
      <c r="G8" t="inlineStr">
        <is>
          <t>未実施（P0-3 自動化）</t>
        </is>
      </c>
      <c r="H8" t="inlineStr">
        <is>
          <t>P0-3</t>
        </is>
      </c>
    </row>
    <row r="9" ht="17" customHeight="1">
      <c r="A9" t="inlineStr">
        <is>
          <t>MV-06</t>
        </is>
      </c>
      <c r="B9" t="inlineStr">
        <is>
          <t>并发首次投影：同一 External ID の並行初回で 1 件のみ</t>
        </is>
      </c>
      <c r="C9" t="inlineStr">
        <is>
          <t>F-20</t>
        </is>
      </c>
      <c r="D9" t="inlineStr">
        <is>
          <t>自動化</t>
        </is>
      </c>
      <c r="E9">
        <f>IF($A9="","",COUNTIF('10.TC一覧'!$E$4:$E$31,"*"&amp;$A9&amp;"*"))</f>
        <v/>
      </c>
      <c r="F9" t="inlineStr">
        <is>
          <t>TC-05</t>
        </is>
      </c>
      <c r="G9" t="inlineStr">
        <is>
          <t>未実施（P0-3 自動化）</t>
        </is>
      </c>
      <c r="H9" t="inlineStr">
        <is>
          <t>P0-3</t>
        </is>
      </c>
    </row>
    <row r="10" ht="17" customHeight="1">
      <c r="A10" t="inlineStr">
        <is>
          <t>MV-07</t>
        </is>
      </c>
      <c r="B10" t="inlineStr">
        <is>
          <t>Site 权限：授权レコード・項目のみ閲覧可能</t>
        </is>
      </c>
      <c r="C10" t="inlineStr">
        <is>
          <t>F-23</t>
        </is>
      </c>
      <c r="D10" t="inlineStr">
        <is>
          <t>真实链路（P0-4・F-23 完了時）</t>
        </is>
      </c>
      <c r="E10">
        <f>IF($A10="","",COUNTIF('10.TC一覧'!$E$4:$E$31,"*"&amp;$A10&amp;"*"))</f>
        <v/>
      </c>
      <c r="F10" t="inlineStr">
        <is>
          <t>TC-12</t>
        </is>
      </c>
      <c r="G10" t="inlineStr">
        <is>
          <t>未実施（P0-4・F-23 完了時）</t>
        </is>
      </c>
      <c r="H10" t="inlineStr">
        <is>
          <t>P0-4</t>
        </is>
      </c>
    </row>
    <row r="11" ht="17" customHeight="1">
      <c r="A11" t="inlineStr">
        <is>
          <t>MV-08</t>
        </is>
      </c>
      <c r="B11" t="inlineStr">
        <is>
          <t>合法取消：commandId 返却→正本 CANCELLED→結果回写</t>
        </is>
      </c>
      <c r="C11" t="inlineStr">
        <is>
          <t>F-24・F-25・F-26</t>
        </is>
      </c>
      <c r="D11" t="inlineStr">
        <is>
          <t>真实链路＋自動</t>
        </is>
      </c>
      <c r="E11">
        <f>IF($A11="","",COUNTIF('10.TC一覧'!$E$4:$E$31,"*"&amp;$A11&amp;"*"))</f>
        <v/>
      </c>
      <c r="F11" t="inlineStr">
        <is>
          <t>TC-07・TC-20</t>
        </is>
      </c>
      <c r="G11" t="inlineStr">
        <is>
          <t>未実施（P0-3）</t>
        </is>
      </c>
      <c r="H11" t="inlineStr">
        <is>
          <t>P0-3</t>
        </is>
      </c>
    </row>
    <row r="12" ht="17" customHeight="1">
      <c r="A12" t="inlineStr">
        <is>
          <t>MV-09</t>
        </is>
      </c>
      <c r="B12" t="inlineStr">
        <is>
          <t>业务冲突：旧 expectedVersion・完了予約取消は 409</t>
        </is>
      </c>
      <c r="C12" t="inlineStr">
        <is>
          <t>F-25</t>
        </is>
      </c>
      <c r="D12" t="inlineStr">
        <is>
          <t>自動化</t>
        </is>
      </c>
      <c r="E12">
        <f>IF($A12="","",COUNTIF('10.TC一覧'!$E$4:$E$31,"*"&amp;$A12&amp;"*"))</f>
        <v/>
      </c>
      <c r="F12" t="inlineStr">
        <is>
          <t>TC-08・TC-23</t>
        </is>
      </c>
      <c r="G12" t="inlineStr">
        <is>
          <t>未実施（P0-3）</t>
        </is>
      </c>
      <c r="H12" t="inlineStr">
        <is>
          <t>P0-3</t>
        </is>
      </c>
    </row>
    <row r="13" ht="17" customHeight="1">
      <c r="A13" t="inlineStr">
        <is>
          <t>MV-10</t>
        </is>
      </c>
      <c r="B13" t="inlineStr">
        <is>
          <t>暂时性失败：前 2 回 503・第 3 回成功＋継続失敗</t>
        </is>
      </c>
      <c r="C13" t="inlineStr">
        <is>
          <t>F-25</t>
        </is>
      </c>
      <c r="D13" t="inlineStr">
        <is>
          <t>自動化</t>
        </is>
      </c>
      <c r="E13">
        <f>IF($A13="","",COUNTIF('10.TC一覧'!$E$4:$E$31,"*"&amp;$A13&amp;"*"))</f>
        <v/>
      </c>
      <c r="F13" t="inlineStr">
        <is>
          <t>TC-09・TC-10</t>
        </is>
      </c>
      <c r="G13" t="inlineStr">
        <is>
          <t>未実施（P0-3）</t>
        </is>
      </c>
      <c r="H13" t="inlineStr">
        <is>
          <t>P0-3</t>
        </is>
      </c>
    </row>
    <row r="14" ht="17" customHeight="1">
      <c r="A14" t="inlineStr">
        <is>
          <t>MV-11</t>
        </is>
      </c>
      <c r="B14" t="inlineStr">
        <is>
          <t>服务端认证：誤 audience/scope/key は 401/403・状態不変</t>
        </is>
      </c>
      <c r="C14" t="inlineStr">
        <is>
          <t>F-25</t>
        </is>
      </c>
      <c r="D14" t="inlineStr">
        <is>
          <t>自動化</t>
        </is>
      </c>
      <c r="E14">
        <f>IF($A14="","",COUNTIF('10.TC一覧'!$E$4:$E$31,"*"&amp;$A14&amp;"*"))</f>
        <v/>
      </c>
      <c r="F14" t="inlineStr">
        <is>
          <t>TC-11・TC-17・TC-18</t>
        </is>
      </c>
      <c r="G14" t="inlineStr">
        <is>
          <t>未実施（P0-3）</t>
        </is>
      </c>
      <c r="H14" t="inlineStr">
        <is>
          <t>P0-3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E5C8A"/>
    <outlinePr summaryBelow="1" summaryRight="1"/>
    <pageSetUpPr/>
  </sheetPr>
  <dimension ref="A1:H31"/>
  <sheetViews>
    <sheetView workbookViewId="0">
      <pane ySplit="3" topLeftCell="A4" activePane="bottomLeft" state="frozen"/>
      <selection activeCell="A1" sqref="A1"/>
      <selection pane="bottomLeft" activeCell="E54" sqref="E54"/>
    </sheetView>
  </sheetViews>
  <sheetFormatPr baseColWidth="8" defaultColWidth="9" defaultRowHeight="13.5"/>
  <cols>
    <col width="10" customWidth="1" min="1" max="1"/>
    <col width="52.625" customWidth="1" min="2" max="2"/>
    <col width="40.125" customWidth="1" min="3" max="3"/>
    <col width="10.375" customWidth="1" min="4" max="4"/>
    <col width="7.625" customWidth="1" min="5" max="5"/>
    <col width="32.375" customWidth="1" min="6" max="6"/>
    <col width="24" customWidth="1" min="7" max="7"/>
  </cols>
  <sheetData>
    <row r="1" ht="14.25" customHeight="1">
      <c r="A1" s="19" t="inlineStr">
        <is>
          <t>単体テストケース一覧（DD-04 §3/§4 出典）</t>
        </is>
      </c>
    </row>
    <row r="2">
      <c r="A2" s="20" t="inlineStr">
        <is>
          <t>対応F・対応MV は DD-04 備考列（対応機能 ID）の照録。E 列は 9.MV一覧の COUNTIF 集計キー（MV 束縛なしの TC は —）。</t>
        </is>
      </c>
    </row>
    <row r="3">
      <c r="A3" s="21" t="inlineStr">
        <is>
          <t>TC ID</t>
        </is>
      </c>
      <c r="B3" s="21" t="inlineStr">
        <is>
          <t>対象モジュール・メソッド</t>
        </is>
      </c>
      <c r="C3" s="21" t="inlineStr">
        <is>
          <t>観点</t>
        </is>
      </c>
      <c r="D3" s="21" t="inlineStr">
        <is>
          <t>対応F</t>
        </is>
      </c>
      <c r="E3" s="21" t="inlineStr">
        <is>
          <t>対応MV</t>
        </is>
      </c>
      <c r="F3" s="21" t="inlineStr">
        <is>
          <t>RULE・REQ 等出典（要点）</t>
        </is>
      </c>
      <c r="G3" s="21" t="inlineStr">
        <is>
          <t>实施状态</t>
        </is>
      </c>
      <c r="H3" s="21" t="inlineStr">
        <is>
          <t>工程</t>
        </is>
      </c>
    </row>
    <row r="4" ht="18" customHeight="1">
      <c r="A4" t="inlineStr">
        <is>
          <t>TC-01</t>
        </is>
      </c>
      <c r="B4" t="inlineStr">
        <is>
          <t>BookingProjectionRest.receiveProjection</t>
        </is>
      </c>
      <c r="C4" t="inlineStr">
        <is>
          <t>正常（初回投影成功）</t>
        </is>
      </c>
      <c r="D4" t="inlineStr">
        <is>
          <t>F-20</t>
        </is>
      </c>
      <c r="E4" t="inlineStr">
        <is>
          <t>MV-04</t>
        </is>
      </c>
      <c r="F4" t="inlineStr">
        <is>
          <t>RULE-01/04・IF-01</t>
        </is>
      </c>
      <c r="G4" t="inlineStr">
        <is>
          <t>✅ 実施済（2026-09-02・S-3/T-1・BookingProjectionRestTest 15/15 PASS）</t>
        </is>
      </c>
      <c r="H4" t="inlineStr">
        <is>
          <t>P0-3</t>
        </is>
      </c>
    </row>
    <row r="5" ht="18" customHeight="1">
      <c r="A5" t="inlineStr">
        <is>
          <t>TC-02</t>
        </is>
      </c>
      <c r="B5" t="inlineStr">
        <is>
          <t>BookingProjectionRest.receiveProjection</t>
        </is>
      </c>
      <c r="C5" t="inlineStr">
        <is>
          <t>冪等（同一 eventId 再送）</t>
        </is>
      </c>
      <c r="D5" t="inlineStr">
        <is>
          <t>F-20</t>
        </is>
      </c>
      <c r="E5" t="inlineStr">
        <is>
          <t>MV-05</t>
        </is>
      </c>
      <c r="F5" t="inlineStr">
        <is>
          <t>RULE-04</t>
        </is>
      </c>
      <c r="G5" t="inlineStr">
        <is>
          <t>✅ 実施済（2026-09-02・S-3/T-1・BookingProjectionRestTest 15/15 PASS）</t>
        </is>
      </c>
      <c r="H5" t="inlineStr">
        <is>
          <t>P0-3</t>
        </is>
      </c>
    </row>
    <row r="6" ht="18" customHeight="1">
      <c r="A6" t="inlineStr">
        <is>
          <t>TC-03</t>
        </is>
      </c>
      <c r="B6" t="inlineStr">
        <is>
          <t>BookingProjectionRest.receiveProjection</t>
        </is>
      </c>
      <c r="C6" t="inlineStr">
        <is>
          <t>異常（旧 version 拒否）</t>
        </is>
      </c>
      <c r="D6" t="inlineStr">
        <is>
          <t>F-20</t>
        </is>
      </c>
      <c r="E6" t="inlineStr">
        <is>
          <t>MV-05</t>
        </is>
      </c>
      <c r="F6" t="inlineStr">
        <is>
          <t>RULE-01・REQ-024</t>
        </is>
      </c>
      <c r="G6" t="inlineStr">
        <is>
          <t>✅ 実施済（2026-09-02・S-3/T-1・BookingProjectionRestTest 15/15 PASS）</t>
        </is>
      </c>
      <c r="H6" t="inlineStr">
        <is>
          <t>P0-3</t>
        </is>
      </c>
    </row>
    <row r="7" ht="18" customHeight="1">
      <c r="A7" t="inlineStr">
        <is>
          <t>TC-04</t>
        </is>
      </c>
      <c r="B7" t="inlineStr">
        <is>
          <t>BookingProjectionRest.receiveProjection</t>
        </is>
      </c>
      <c r="C7" t="inlineStr">
        <is>
          <t>境界（同 version・別 eventId は拒否）</t>
        </is>
      </c>
      <c r="D7" t="inlineStr">
        <is>
          <t>F-20</t>
        </is>
      </c>
      <c r="E7" t="inlineStr">
        <is>
          <t>MV-05</t>
        </is>
      </c>
      <c r="F7" t="inlineStr">
        <is>
          <t>RULE-01/04</t>
        </is>
      </c>
      <c r="G7" t="inlineStr">
        <is>
          <t>✅ 実施済（2026-09-02・S-3/T-1・BookingProjectionRestTest 15/15 PASS）</t>
        </is>
      </c>
      <c r="H7" t="inlineStr">
        <is>
          <t>P0-3</t>
        </is>
      </c>
    </row>
    <row r="8" ht="18" customHeight="1">
      <c r="A8" t="inlineStr">
        <is>
          <t>TC-05</t>
        </is>
      </c>
      <c r="B8" t="inlineStr">
        <is>
          <t>BookingProjectionRest.receiveProjection</t>
        </is>
      </c>
      <c r="C8" t="inlineStr">
        <is>
          <t>並行（並行初回投影）</t>
        </is>
      </c>
      <c r="D8" t="inlineStr">
        <is>
          <t>F-20</t>
        </is>
      </c>
      <c r="E8" t="inlineStr">
        <is>
          <t>MV-06</t>
        </is>
      </c>
      <c r="F8" t="inlineStr">
        <is>
          <t>BD-03 §3.6 FOR UPDATE</t>
        </is>
      </c>
      <c r="G8" t="inlineStr">
        <is>
          <t>✅ 実施済（2026-09-02・S-3/T-1・BookingProjectionRestTest 15/15 PASS）</t>
        </is>
      </c>
      <c r="H8" t="inlineStr">
        <is>
          <t>P0-3</t>
        </is>
      </c>
    </row>
    <row r="9" ht="18" customHeight="1">
      <c r="A9" t="inlineStr">
        <is>
          <t>TC-06</t>
        </is>
      </c>
      <c r="B9" t="inlineStr">
        <is>
          <t>BookingProjectionRest.receiveProjection</t>
        </is>
      </c>
      <c r="C9" t="inlineStr">
        <is>
          <t>異常（PII 非含有）</t>
        </is>
      </c>
      <c r="D9" t="inlineStr">
        <is>
          <t>F-20</t>
        </is>
      </c>
      <c r="E9" t="inlineStr">
        <is>
          <t>MV-04</t>
        </is>
      </c>
      <c r="F9" t="inlineStr">
        <is>
          <t>RULE-11・REQ-019・NFR-09</t>
        </is>
      </c>
      <c r="G9" t="inlineStr">
        <is>
          <t>✅ 実施済（2026-09-02・S-3/T-1・BookingProjectionRestTest 15/15 PASS）</t>
        </is>
      </c>
      <c r="H9" t="inlineStr">
        <is>
          <t>P0-3</t>
        </is>
      </c>
    </row>
    <row r="10" ht="18" customHeight="1">
      <c r="A10" t="inlineStr">
        <is>
          <t>TC-07</t>
        </is>
      </c>
      <c r="B10" t="inlineStr">
        <is>
          <t>BookingCommandQueueable.execute</t>
        </is>
      </c>
      <c r="C10" t="inlineStr">
        <is>
          <t>正常（合法取消成功）</t>
        </is>
      </c>
      <c r="D10" t="inlineStr">
        <is>
          <t>F-25/F-26</t>
        </is>
      </c>
      <c r="E10" t="inlineStr">
        <is>
          <t>MV-08</t>
        </is>
      </c>
      <c r="F10" t="inlineStr">
        <is>
          <t>RULE-14・REQ-025</t>
        </is>
      </c>
      <c r="G10" t="inlineStr">
        <is>
          <t>未実施（P0-3 計画）</t>
        </is>
      </c>
      <c r="H10" t="inlineStr">
        <is>
          <t>P0-3</t>
        </is>
      </c>
    </row>
    <row r="11" ht="18" customHeight="1">
      <c r="A11" t="inlineStr">
        <is>
          <t>TC-08</t>
        </is>
      </c>
      <c r="B11" t="inlineStr">
        <is>
          <t>BookingCommandQueueable.execute</t>
        </is>
      </c>
      <c r="C11" t="inlineStr">
        <is>
          <t>異常（409 業務競合）</t>
        </is>
      </c>
      <c r="D11" t="inlineStr">
        <is>
          <t>F-25</t>
        </is>
      </c>
      <c r="E11" t="inlineStr">
        <is>
          <t>MV-09</t>
        </is>
      </c>
      <c r="F11" t="inlineStr">
        <is>
          <t>RULE-02/09/14</t>
        </is>
      </c>
      <c r="G11" t="inlineStr">
        <is>
          <t>未実施（P0-3 計画）</t>
        </is>
      </c>
      <c r="H11" t="inlineStr">
        <is>
          <t>P0-3</t>
        </is>
      </c>
    </row>
    <row r="12" ht="18" customHeight="1">
      <c r="A12" t="inlineStr">
        <is>
          <t>TC-09</t>
        </is>
      </c>
      <c r="B12" t="inlineStr">
        <is>
          <t>BookingCommandQueueable.execute</t>
        </is>
      </c>
      <c r="C12" t="inlineStr">
        <is>
          <t>異常（503 一時障害・成功回復）</t>
        </is>
      </c>
      <c r="D12" t="inlineStr">
        <is>
          <t>F-25</t>
        </is>
      </c>
      <c r="E12" t="inlineStr">
        <is>
          <t>MV-10</t>
        </is>
      </c>
      <c r="F12" t="inlineStr">
        <is>
          <t>RULE-09</t>
        </is>
      </c>
      <c r="G12" t="inlineStr">
        <is>
          <t>未実施（P0-3 計画）</t>
        </is>
      </c>
      <c r="H12" t="inlineStr">
        <is>
          <t>P0-3</t>
        </is>
      </c>
    </row>
    <row r="13" ht="18" customHeight="1">
      <c r="A13" t="inlineStr">
        <is>
          <t>TC-10</t>
        </is>
      </c>
      <c r="B13" t="inlineStr">
        <is>
          <t>BookingCommandQueueable.execute</t>
        </is>
      </c>
      <c r="C13" t="inlineStr">
        <is>
          <t>異常（継続失敗→FAILED）</t>
        </is>
      </c>
      <c r="D13" t="inlineStr">
        <is>
          <t>F-25</t>
        </is>
      </c>
      <c r="E13" t="inlineStr">
        <is>
          <t>MV-10</t>
        </is>
      </c>
      <c r="F13" t="inlineStr">
        <is>
          <t>RULE-10・REQ-028</t>
        </is>
      </c>
      <c r="G13" t="inlineStr">
        <is>
          <t>未実施（P0-3 計画）</t>
        </is>
      </c>
      <c r="H13" t="inlineStr">
        <is>
          <t>P0-3</t>
        </is>
      </c>
    </row>
    <row r="14" ht="18" customHeight="1">
      <c r="A14" t="inlineStr">
        <is>
          <t>TC-11</t>
        </is>
      </c>
      <c r="B14" t="inlineStr">
        <is>
          <t>BookingCommandQueueable.execute</t>
        </is>
      </c>
      <c r="C14" t="inlineStr">
        <is>
          <t>異常（認証 NG 401/403）</t>
        </is>
      </c>
      <c r="D14" t="inlineStr">
        <is>
          <t>F-25</t>
        </is>
      </c>
      <c r="E14" t="inlineStr">
        <is>
          <t>MV-11</t>
        </is>
      </c>
      <c r="F14" t="inlineStr">
        <is>
          <t>RULE-14 注記・REQ-029</t>
        </is>
      </c>
      <c r="G14" t="inlineStr">
        <is>
          <t>未実施（P0-3 計画）</t>
        </is>
      </c>
      <c r="H14" t="inlineStr">
        <is>
          <t>P0-3</t>
        </is>
      </c>
    </row>
    <row r="15" ht="18" customHeight="1">
      <c r="A15" t="inlineStr">
        <is>
          <t>TC-12</t>
        </is>
      </c>
      <c r="B15" t="inlineStr">
        <is>
          <t>BookingSiteController.getProjections</t>
        </is>
      </c>
      <c r="C15" t="inlineStr">
        <is>
          <t>異常（行級限定・越権拒否）</t>
        </is>
      </c>
      <c r="D15" t="inlineStr">
        <is>
          <t>F-23</t>
        </is>
      </c>
      <c r="E15" t="inlineStr">
        <is>
          <t>MV-07</t>
        </is>
      </c>
      <c r="F15" t="inlineStr">
        <is>
          <t>RULE-13・REQ-030</t>
        </is>
      </c>
      <c r="G15" t="inlineStr">
        <is>
          <t>未実施（P0-3 計画）</t>
        </is>
      </c>
      <c r="H15" t="inlineStr">
        <is>
          <t>P0-3</t>
        </is>
      </c>
    </row>
    <row r="16" ht="18" customHeight="1">
      <c r="A16" t="inlineStr">
        <is>
          <t>TC-13</t>
        </is>
      </c>
      <c r="B16" t="inlineStr">
        <is>
          <t>BookingSiteController.submitCancel</t>
        </is>
      </c>
      <c r="C16" t="inlineStr">
        <is>
          <t>境界（取消不可状態の事前抑制）</t>
        </is>
      </c>
      <c r="D16" t="inlineStr">
        <is>
          <t>F-24</t>
        </is>
      </c>
      <c r="E16" t="inlineStr">
        <is>
          <t>—</t>
        </is>
      </c>
      <c r="F16" t="inlineStr">
        <is>
          <t>RULE-07・MSG-04</t>
        </is>
      </c>
      <c r="G16" t="inlineStr">
        <is>
          <t>未実施（P0-3 計画）</t>
        </is>
      </c>
      <c r="H16" t="inlineStr">
        <is>
          <t>P0-3</t>
        </is>
      </c>
    </row>
    <row r="17" ht="18" customHeight="1">
      <c r="A17" t="inlineStr">
        <is>
          <t>TC-14</t>
        </is>
      </c>
      <c r="B17" t="inlineStr">
        <is>
          <t>BookingCommandQueueable.execute</t>
        </is>
      </c>
      <c r="C17" t="inlineStr">
        <is>
          <t>境界（受入端点の入力境界）</t>
        </is>
      </c>
      <c r="D17" t="inlineStr">
        <is>
          <t>F-25</t>
        </is>
      </c>
      <c r="E17" t="inlineStr">
        <is>
          <t>—</t>
        </is>
      </c>
      <c r="F17" t="inlineStr">
        <is>
          <t>BD-09 §4.3・RULE-02/12/13</t>
        </is>
      </c>
      <c r="G17" t="inlineStr">
        <is>
          <t>未実施（P0-3 計画）</t>
        </is>
      </c>
      <c r="H17" t="inlineStr">
        <is>
          <t>P0-3</t>
        </is>
      </c>
    </row>
    <row r="18" ht="18" customHeight="1">
      <c r="A18" t="inlineStr">
        <is>
          <t>TC-15</t>
        </is>
      </c>
      <c r="B18" t="inlineStr">
        <is>
          <t>BookingSiteController.getProjections</t>
        </is>
      </c>
      <c r="C18" t="inlineStr">
        <is>
          <t>境界（投影 0 件）</t>
        </is>
      </c>
      <c r="D18" t="inlineStr">
        <is>
          <t>F-23</t>
        </is>
      </c>
      <c r="E18" t="inlineStr">
        <is>
          <t>—</t>
        </is>
      </c>
      <c r="F18" t="inlineStr">
        <is>
          <t>MSG-01</t>
        </is>
      </c>
      <c r="G18" t="inlineStr">
        <is>
          <t>未実施（P0-3 計画）</t>
        </is>
      </c>
      <c r="H18" t="inlineStr">
        <is>
          <t>P0-3</t>
        </is>
      </c>
    </row>
    <row r="19" ht="18" customHeight="1">
      <c r="A19" t="inlineStr">
        <is>
          <t>TC-16</t>
        </is>
      </c>
      <c r="B19" t="inlineStr">
        <is>
          <t>BookingSiteController.getCommandStatus</t>
        </is>
      </c>
      <c r="C19" t="inlineStr">
        <is>
          <t>正常（状態遷移表示）</t>
        </is>
      </c>
      <c r="D19" t="inlineStr">
        <is>
          <t>F-24</t>
        </is>
      </c>
      <c r="E19" t="inlineStr">
        <is>
          <t>—</t>
        </is>
      </c>
      <c r="F19" t="inlineStr">
        <is>
          <t>S-11-07・CD-08</t>
        </is>
      </c>
      <c r="G19" t="inlineStr">
        <is>
          <t>未実施（P0-3 計画）</t>
        </is>
      </c>
      <c r="H19" t="inlineStr">
        <is>
          <t>P0-3</t>
        </is>
      </c>
    </row>
    <row r="20" ht="18" customHeight="1">
      <c r="A20" t="inlineStr">
        <is>
          <t>TC-17</t>
        </is>
      </c>
      <c r="B20" t="inlineStr">
        <is>
          <t>Integration Guard.canActivate</t>
        </is>
      </c>
      <c r="C20" t="inlineStr">
        <is>
          <t>正常（A3 検証通過）</t>
        </is>
      </c>
      <c r="D20" t="inlineStr">
        <is>
          <t>F-25</t>
        </is>
      </c>
      <c r="E20" t="inlineStr">
        <is>
          <t>MV-11</t>
        </is>
      </c>
      <c r="F20" t="inlineStr">
        <is>
          <t>REQ-029・NFR-04</t>
        </is>
      </c>
      <c r="G20" t="inlineStr">
        <is>
          <t>未実施（P0-3 計画）</t>
        </is>
      </c>
      <c r="H20" t="inlineStr">
        <is>
          <t>P0-3</t>
        </is>
      </c>
    </row>
    <row r="21" ht="18" customHeight="1">
      <c r="A21" t="inlineStr">
        <is>
          <t>TC-18</t>
        </is>
      </c>
      <c r="B21" t="inlineStr">
        <is>
          <t>Integration Guard.canActivate</t>
        </is>
      </c>
      <c r="C21" t="inlineStr">
        <is>
          <t>異常（認証 NG）</t>
        </is>
      </c>
      <c r="D21" t="inlineStr">
        <is>
          <t>F-25</t>
        </is>
      </c>
      <c r="E21" t="inlineStr">
        <is>
          <t>MV-11</t>
        </is>
      </c>
      <c r="F21" t="inlineStr">
        <is>
          <t>REQ-029</t>
        </is>
      </c>
      <c r="G21" t="inlineStr">
        <is>
          <t>未実施（P0-3 計画）</t>
        </is>
      </c>
      <c r="H21" t="inlineStr">
        <is>
          <t>P0-3</t>
        </is>
      </c>
    </row>
    <row r="22" ht="18" customHeight="1">
      <c r="A22" t="inlineStr">
        <is>
          <t>TC-19</t>
        </is>
      </c>
      <c r="B22" t="inlineStr">
        <is>
          <t>BookingCommandsController.receiveCommand</t>
        </is>
      </c>
      <c r="C22" t="inlineStr">
        <is>
          <t>境界（DTO 検証）</t>
        </is>
      </c>
      <c r="D22" t="inlineStr">
        <is>
          <t>F-25</t>
        </is>
      </c>
      <c r="E22" t="inlineStr">
        <is>
          <t>—</t>
        </is>
      </c>
      <c r="F22" t="inlineStr">
        <is>
          <t>BD-09 §4.3・RULE-13</t>
        </is>
      </c>
      <c r="G22" t="inlineStr">
        <is>
          <t>未実施（P0-3 計画）</t>
        </is>
      </c>
      <c r="H22" t="inlineStr">
        <is>
          <t>P0-3</t>
        </is>
      </c>
    </row>
    <row r="23" ht="18" customHeight="1">
      <c r="A23" t="inlineStr">
        <is>
          <t>TC-20</t>
        </is>
      </c>
      <c r="B23" t="inlineStr">
        <is>
          <t>BookingsIntegrationService.executeCancelCommand</t>
        </is>
      </c>
      <c r="C23" t="inlineStr">
        <is>
          <t>冪等（commandId 再送）</t>
        </is>
      </c>
      <c r="D23" t="inlineStr">
        <is>
          <t>F-25</t>
        </is>
      </c>
      <c r="E23" t="inlineStr">
        <is>
          <t>MV-08</t>
        </is>
      </c>
      <c r="F23" t="inlineStr">
        <is>
          <t>RULE-03・REQ-023</t>
        </is>
      </c>
      <c r="G23" t="inlineStr">
        <is>
          <t>未実施（P0-3 計画）</t>
        </is>
      </c>
      <c r="H23" t="inlineStr">
        <is>
          <t>P0-3</t>
        </is>
      </c>
    </row>
    <row r="24" ht="18" customHeight="1">
      <c r="A24" t="inlineStr">
        <is>
          <t>TC-21</t>
        </is>
      </c>
      <c r="B24" t="inlineStr">
        <is>
          <t>BookingsIntegrationService.executeCancelCommand</t>
        </is>
      </c>
      <c r="C24" t="inlineStr">
        <is>
          <t>異常（静的マッピング NG）</t>
        </is>
      </c>
      <c r="D24" t="inlineStr">
        <is>
          <t>F-25</t>
        </is>
      </c>
      <c r="E24" t="inlineStr">
        <is>
          <t>—</t>
        </is>
      </c>
      <c r="F24" t="inlineStr">
        <is>
          <t>RULE-12・REQ-026</t>
        </is>
      </c>
      <c r="G24" t="inlineStr">
        <is>
          <t>未実施（P0-3 計画）</t>
        </is>
      </c>
      <c r="H24" t="inlineStr">
        <is>
          <t>P0-3</t>
        </is>
      </c>
    </row>
    <row r="25" ht="18" customHeight="1">
      <c r="A25" t="inlineStr">
        <is>
          <t>TC-22</t>
        </is>
      </c>
      <c r="B25" t="inlineStr">
        <is>
          <t>BookingsIntegrationService.executeCancelCommand</t>
        </is>
      </c>
      <c r="C25" t="inlineStr">
        <is>
          <t>異常（予約定位 404）</t>
        </is>
      </c>
      <c r="D25" t="inlineStr">
        <is>
          <t>F-25</t>
        </is>
      </c>
      <c r="E25" t="inlineStr">
        <is>
          <t>—</t>
        </is>
      </c>
      <c r="F25" t="inlineStr">
        <is>
          <t>REQ-033・G7・RULE-15</t>
        </is>
      </c>
      <c r="G25" t="inlineStr">
        <is>
          <t>未実施（P0-3 計画）</t>
        </is>
      </c>
      <c r="H25" t="inlineStr">
        <is>
          <t>P0-3</t>
        </is>
      </c>
    </row>
    <row r="26" ht="18" customHeight="1">
      <c r="A26" t="inlineStr">
        <is>
          <t>TC-23</t>
        </is>
      </c>
      <c r="B26" t="inlineStr">
        <is>
          <t>BookingsIntegrationService.executeCancelCommand</t>
        </is>
      </c>
      <c r="C26" t="inlineStr">
        <is>
          <t>異常（状態遷移 NG）</t>
        </is>
      </c>
      <c r="D26" t="inlineStr">
        <is>
          <t>F-25</t>
        </is>
      </c>
      <c r="E26" t="inlineStr">
        <is>
          <t>MV-09</t>
        </is>
      </c>
      <c r="F26" t="inlineStr">
        <is>
          <t>RULE-05/07</t>
        </is>
      </c>
      <c r="G26" t="inlineStr">
        <is>
          <t>未実施（P0-3 計画）</t>
        </is>
      </c>
      <c r="H26" t="inlineStr">
        <is>
          <t>P0-3</t>
        </is>
      </c>
    </row>
    <row r="27" ht="18" customHeight="1">
      <c r="A27" t="inlineStr">
        <is>
          <t>TC-24</t>
        </is>
      </c>
      <c r="B27" t="inlineStr">
        <is>
          <t>BookingsIntegrationService.executeCancelCommand</t>
        </is>
      </c>
      <c r="C27" t="inlineStr">
        <is>
          <t>境界（バージョンゲート）</t>
        </is>
      </c>
      <c r="D27" t="inlineStr">
        <is>
          <t>F-25</t>
        </is>
      </c>
      <c r="E27" t="inlineStr">
        <is>
          <t>—</t>
        </is>
      </c>
      <c r="F27" t="inlineStr">
        <is>
          <t>RULE-02・REQ-024</t>
        </is>
      </c>
      <c r="G27" t="inlineStr">
        <is>
          <t>未実施（P0-3 計画）</t>
        </is>
      </c>
      <c r="H27" t="inlineStr">
        <is>
          <t>P0-3</t>
        </is>
      </c>
    </row>
    <row r="28" ht="18" customHeight="1">
      <c r="A28" t="inlineStr">
        <is>
          <t>TC-25</t>
        </is>
      </c>
      <c r="B28" t="inlineStr">
        <is>
          <t>BookingsIntegrationService.executeCancelCommand</t>
        </is>
      </c>
      <c r="C28" t="inlineStr">
        <is>
          <t>正常（正本更新トランザクション）</t>
        </is>
      </c>
      <c r="D28" t="inlineStr">
        <is>
          <t>F-25</t>
        </is>
      </c>
      <c r="E28" t="inlineStr">
        <is>
          <t>—</t>
        </is>
      </c>
      <c r="F28" t="inlineStr">
        <is>
          <t>RULE-08・BD-03 §8.6</t>
        </is>
      </c>
      <c r="G28" t="inlineStr">
        <is>
          <t>未実施（P0-3 計画）</t>
        </is>
      </c>
      <c r="H28" t="inlineStr">
        <is>
          <t>P0-3</t>
        </is>
      </c>
    </row>
    <row r="29" ht="18" customHeight="1">
      <c r="A29" t="inlineStr">
        <is>
          <t>TC-26</t>
        </is>
      </c>
      <c r="B29" t="inlineStr">
        <is>
          <t>BookingsIntegrationService.executeCancelCommand</t>
        </is>
      </c>
      <c r="C29" t="inlineStr">
        <is>
          <t>異常（DB 例外ロールバック）</t>
        </is>
      </c>
      <c r="D29" t="inlineStr">
        <is>
          <t>F-25</t>
        </is>
      </c>
      <c r="E29" t="inlineStr">
        <is>
          <t>—</t>
        </is>
      </c>
      <c r="F29" t="inlineStr">
        <is>
          <t>BD-03 §8.6</t>
        </is>
      </c>
      <c r="G29" t="inlineStr">
        <is>
          <t>未実施（P0-3 計画）</t>
        </is>
      </c>
      <c r="H29" t="inlineStr">
        <is>
          <t>P0-3</t>
        </is>
      </c>
    </row>
    <row r="30" ht="18" customHeight="1">
      <c r="A30" t="inlineStr">
        <is>
          <t>TC-27</t>
        </is>
      </c>
      <c r="B30" t="inlineStr">
        <is>
          <t>投影送信サービス.projectBooking</t>
        </is>
      </c>
      <c r="C30" t="inlineStr">
        <is>
          <t>正常（投影成功）</t>
        </is>
      </c>
      <c r="D30" t="inlineStr">
        <is>
          <t>F-20</t>
        </is>
      </c>
      <c r="E30" t="inlineStr">
        <is>
          <t>—</t>
        </is>
      </c>
      <c r="F30" t="inlineStr">
        <is>
          <t>REQ-018/019・RULE-11・IF-01</t>
        </is>
      </c>
      <c r="G30" t="inlineStr">
        <is>
          <t>未実施（P0-3 計画）</t>
        </is>
      </c>
      <c r="H30" t="inlineStr">
        <is>
          <t>P0-3</t>
        </is>
      </c>
    </row>
    <row r="31" ht="18" customHeight="1">
      <c r="A31" t="inlineStr">
        <is>
          <t>TC-28</t>
        </is>
      </c>
      <c r="B31" t="inlineStr">
        <is>
          <t>投影送信サービス.projectBooking</t>
        </is>
      </c>
      <c r="C31" t="inlineStr">
        <is>
          <t>異常（投影失敗）</t>
        </is>
      </c>
      <c r="D31" t="inlineStr">
        <is>
          <t>F-20</t>
        </is>
      </c>
      <c r="E31" t="inlineStr">
        <is>
          <t>—</t>
        </is>
      </c>
      <c r="F31" t="inlineStr">
        <is>
          <t>BD-09 §3.8・syncStatus=ERROR</t>
        </is>
      </c>
      <c r="G31" t="inlineStr">
        <is>
          <t>未実施（P0-3 計画）</t>
        </is>
      </c>
      <c r="H31" t="inlineStr">
        <is>
          <t>P0-3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E5C8A"/>
    <outlinePr summaryBelow="1" summaryRight="1"/>
    <pageSetUpPr/>
  </sheetPr>
  <dimension ref="A1:H28"/>
  <sheetViews>
    <sheetView workbookViewId="0">
      <pane ySplit="3" topLeftCell="A4" activePane="bottomLeft" state="frozen"/>
      <selection activeCell="A1" sqref="A1"/>
      <selection pane="bottomLeft" activeCell="C32" sqref="C32"/>
    </sheetView>
  </sheetViews>
  <sheetFormatPr baseColWidth="8" defaultColWidth="9" defaultRowHeight="13.5"/>
  <cols>
    <col width="12" customWidth="1" min="1" max="1"/>
    <col width="88.5" customWidth="1" min="2" max="2"/>
    <col width="45.25" customWidth="1" min="3" max="3"/>
    <col width="32" customWidth="1" min="4" max="6"/>
    <col width="28" customWidth="1" min="7" max="7"/>
    <col width="17.375" customWidth="1" min="8" max="8"/>
  </cols>
  <sheetData>
    <row r="1" ht="14.25" customHeight="1">
      <c r="A1" s="19" t="inlineStr">
        <is>
          <t>画面項目（S-xx-yy）・エラーメッセージ（MSG）一覧</t>
        </is>
      </c>
    </row>
    <row r="2">
      <c r="A2" s="20" t="inlineStr">
        <is>
          <t>出典：BD-05 §3（screen-items.md）。MSG の新規採番は BD-05 のみ（単点採番宣言・screen-items.md:14）。</t>
        </is>
      </c>
    </row>
    <row r="4">
      <c r="A4" s="22" t="inlineStr">
        <is>
          <t>■ 画面項目 ID（S-xx-yy・14 件：S-10-01〜04・S-11-01〜10）</t>
        </is>
      </c>
      <c r="B4" s="23" t="n"/>
      <c r="C4" s="23" t="n"/>
      <c r="D4" s="23" t="n"/>
      <c r="E4" s="23" t="n"/>
      <c r="F4" s="23" t="n"/>
    </row>
    <row r="5">
      <c r="A5" s="21" t="inlineStr">
        <is>
          <t>項目ID</t>
        </is>
      </c>
      <c r="B5" s="21" t="inlineStr">
        <is>
          <t>表示ラベル</t>
        </is>
      </c>
      <c r="C5" s="21" t="inlineStr">
        <is>
          <t>物理名</t>
        </is>
      </c>
      <c r="D5" s="21" t="inlineStr">
        <is>
          <t>参照先</t>
        </is>
      </c>
      <c r="E5" s="21" t="inlineStr">
        <is>
          <t>エラーメッセージID</t>
        </is>
      </c>
      <c r="F5" s="21" t="inlineStr">
        <is>
          <t>備考</t>
        </is>
      </c>
      <c r="G5" t="inlineStr">
        <is>
          <t>实施状态</t>
        </is>
      </c>
      <c r="H5" t="inlineStr">
        <is>
          <t>工程</t>
        </is>
      </c>
    </row>
    <row r="6" ht="17" customHeight="1">
      <c r="A6" t="inlineStr">
        <is>
          <t>S-10-01</t>
        </is>
      </c>
      <c r="B6" t="inlineStr">
        <is>
          <t>ユーザー名</t>
        </is>
      </c>
      <c r="C6" t="inlineStr">
        <is>
          <t>Username</t>
        </is>
      </c>
      <c r="D6" t="inlineStr">
        <is>
          <t>Salesforce User（TERM-07）</t>
        </is>
      </c>
      <c r="E6" t="inlineStr">
        <is>
          <t>なし（標準動作）</t>
        </is>
      </c>
      <c r="F6" t="inlineStr">
        <is>
          <t>実態ベース記載</t>
        </is>
      </c>
      <c r="G6" t="inlineStr">
        <is>
          <t>✅ 既存（P0-1 構築済）</t>
        </is>
      </c>
      <c r="H6" t="inlineStr">
        <is>
          <t>P0-1（完了）</t>
        </is>
      </c>
    </row>
    <row r="7" ht="17" customHeight="1">
      <c r="A7" t="inlineStr">
        <is>
          <t>S-10-02</t>
        </is>
      </c>
      <c r="B7" t="inlineStr">
        <is>
          <t>パスワード</t>
        </is>
      </c>
      <c r="C7" t="inlineStr">
        <is>
          <t>Password</t>
        </is>
      </c>
      <c r="D7" t="inlineStr">
        <is>
          <t>Salesforce User</t>
        </is>
      </c>
      <c r="E7" t="inlineStr">
        <is>
          <t>なし（標準動作）</t>
        </is>
      </c>
      <c r="G7" t="inlineStr">
        <is>
          <t>✅ 既存（P0-1 構築済）</t>
        </is>
      </c>
      <c r="H7" t="inlineStr">
        <is>
          <t>P0-1（完了）</t>
        </is>
      </c>
    </row>
    <row r="8" ht="17" customHeight="1">
      <c r="A8" t="inlineStr">
        <is>
          <t>S-10-03</t>
        </is>
      </c>
      <c r="B8" t="inlineStr">
        <is>
          <t>ログイン</t>
        </is>
      </c>
      <c r="C8" t="inlineStr">
        <is>
          <t>（ボタン）</t>
        </is>
      </c>
      <c r="D8" t="inlineStr">
        <is>
          <t>—</t>
        </is>
      </c>
      <c r="E8" t="inlineStr">
        <is>
          <t>なし</t>
        </is>
      </c>
      <c r="G8" t="inlineStr">
        <is>
          <t>✅ 既存（P0-1 構築済）</t>
        </is>
      </c>
      <c r="H8" t="inlineStr">
        <is>
          <t>P0-1（完了）</t>
        </is>
      </c>
    </row>
    <row r="9" ht="17" customHeight="1">
      <c r="A9" t="inlineStr">
        <is>
          <t>S-10-04</t>
        </is>
      </c>
      <c r="B9" t="inlineStr">
        <is>
          <t>パスワードを忘れた場合</t>
        </is>
      </c>
      <c r="C9" t="inlineStr">
        <is>
          <t>（リンク）</t>
        </is>
      </c>
      <c r="D9" t="inlineStr">
        <is>
          <t>—</t>
        </is>
      </c>
      <c r="E9" t="inlineStr">
        <is>
          <t>なし</t>
        </is>
      </c>
      <c r="G9" t="inlineStr">
        <is>
          <t>✅ 既存（P0-1 構築済）</t>
        </is>
      </c>
      <c r="H9" t="inlineStr">
        <is>
          <t>P0-1（完了）</t>
        </is>
      </c>
    </row>
    <row r="10" ht="17" customHeight="1">
      <c r="A10" t="inlineStr">
        <is>
          <t>S-11-01</t>
        </is>
      </c>
      <c r="B10" t="inlineStr">
        <is>
          <t>予約番号</t>
        </is>
      </c>
      <c r="C10" t="inlineStr">
        <is>
          <t>AppointmentNumber__c</t>
        </is>
      </c>
      <c r="D10" t="inlineStr">
        <is>
          <t>BD-07 §3</t>
        </is>
      </c>
      <c r="E10" t="inlineStr">
        <is>
          <t>—</t>
        </is>
      </c>
      <c r="F10" t="inlineStr">
        <is>
          <t>🔵 P0-4 計画</t>
        </is>
      </c>
      <c r="G10" t="inlineStr">
        <is>
          <t>🔵 P0-4 計画（未実装）</t>
        </is>
      </c>
      <c r="H10" t="inlineStr">
        <is>
          <t>P0-4</t>
        </is>
      </c>
    </row>
    <row r="11" ht="17" customHeight="1">
      <c r="A11" t="inlineStr">
        <is>
          <t>S-11-02</t>
        </is>
      </c>
      <c r="B11" t="inlineStr">
        <is>
          <t>予約日付</t>
        </is>
      </c>
      <c r="C11" t="inlineStr">
        <is>
          <t>AppointmentDate__c</t>
        </is>
      </c>
      <c r="D11" t="inlineStr">
        <is>
          <t>BD-07 §3</t>
        </is>
      </c>
      <c r="E11" t="inlineStr">
        <is>
          <t>—</t>
        </is>
      </c>
      <c r="G11" t="inlineStr">
        <is>
          <t>🔵 P0-4 計画（未実装）</t>
        </is>
      </c>
      <c r="H11" t="inlineStr">
        <is>
          <t>P0-4</t>
        </is>
      </c>
    </row>
    <row r="12" ht="17" customHeight="1">
      <c r="A12" t="inlineStr">
        <is>
          <t>S-11-03</t>
        </is>
      </c>
      <c r="B12" t="inlineStr">
        <is>
          <t>時間枠</t>
        </is>
      </c>
      <c r="C12" t="inlineStr">
        <is>
          <t>TimeSlot__c</t>
        </is>
      </c>
      <c r="D12" t="inlineStr">
        <is>
          <t>BD-07 §3</t>
        </is>
      </c>
      <c r="E12" t="inlineStr">
        <is>
          <t>—</t>
        </is>
      </c>
      <c r="G12" t="inlineStr">
        <is>
          <t>🔵 P0-4 計画（未実装）</t>
        </is>
      </c>
      <c r="H12" t="inlineStr">
        <is>
          <t>P0-4</t>
        </is>
      </c>
    </row>
    <row r="13" ht="17" customHeight="1">
      <c r="A13" t="inlineStr">
        <is>
          <t>S-11-04</t>
        </is>
      </c>
      <c r="B13" t="inlineStr">
        <is>
          <t>サービス名</t>
        </is>
      </c>
      <c r="C13" t="inlineStr">
        <is>
          <t>ServiceName__c</t>
        </is>
      </c>
      <c r="D13" t="inlineStr">
        <is>
          <t>BD-07 §3</t>
        </is>
      </c>
      <c r="E13" t="inlineStr">
        <is>
          <t>—</t>
        </is>
      </c>
      <c r="G13" t="inlineStr">
        <is>
          <t>🔵 P0-4 計画（未実装）</t>
        </is>
      </c>
      <c r="H13" t="inlineStr">
        <is>
          <t>P0-4</t>
        </is>
      </c>
    </row>
    <row r="14" ht="17" customHeight="1">
      <c r="A14" t="inlineStr">
        <is>
          <t>S-11-05</t>
        </is>
      </c>
      <c r="B14" t="inlineStr">
        <is>
          <t>状態</t>
        </is>
      </c>
      <c r="C14" t="inlineStr">
        <is>
          <t>Status__c</t>
        </is>
      </c>
      <c r="D14" t="inlineStr">
        <is>
          <t>CD-03/CD-07</t>
        </is>
      </c>
      <c r="E14" t="inlineStr">
        <is>
          <t>—</t>
        </is>
      </c>
      <c r="F14" t="inlineStr">
        <is>
          <t>canonical 値</t>
        </is>
      </c>
      <c r="G14" t="inlineStr">
        <is>
          <t>🔵 P0-4 計画（未実装）</t>
        </is>
      </c>
      <c r="H14" t="inlineStr">
        <is>
          <t>P0-4</t>
        </is>
      </c>
    </row>
    <row r="15" ht="17" customHeight="1">
      <c r="A15" t="inlineStr">
        <is>
          <t>S-11-06</t>
        </is>
      </c>
      <c r="B15" t="inlineStr">
        <is>
          <t>キャンセル</t>
        </is>
      </c>
      <c r="C15" t="inlineStr">
        <is>
          <t>（ボタン）</t>
        </is>
      </c>
      <c r="D15" t="inlineStr">
        <is>
          <t>F-24・RULE-05/07</t>
        </is>
      </c>
      <c r="E15" t="inlineStr">
        <is>
          <t>MSG-03・MSG-04</t>
        </is>
      </c>
      <c r="F15" t="inlineStr">
        <is>
          <t>行級範囲内のみ操作可</t>
        </is>
      </c>
      <c r="G15" t="inlineStr">
        <is>
          <t>🔵 P0-4 計画（未実装）</t>
        </is>
      </c>
      <c r="H15" t="inlineStr">
        <is>
          <t>P0-4</t>
        </is>
      </c>
    </row>
    <row r="16" ht="17" customHeight="1">
      <c r="A16" t="inlineStr">
        <is>
          <t>S-11-07</t>
        </is>
      </c>
      <c r="B16" t="inlineStr">
        <is>
          <t>処理状態</t>
        </is>
      </c>
      <c r="C16" t="inlineStr">
        <is>
          <t>Booking_Command__c.Status__c</t>
        </is>
      </c>
      <c r="D16" t="inlineStr">
        <is>
          <t>CD-08・F-24</t>
        </is>
      </c>
      <c r="E16" t="inlineStr">
        <is>
          <t>MSG-05・MSG-06</t>
        </is>
      </c>
      <c r="F16" t="inlineStr">
        <is>
          <t>ポーリング表示</t>
        </is>
      </c>
      <c r="G16" t="inlineStr">
        <is>
          <t>🔵 P0-4 計画（未実装）</t>
        </is>
      </c>
      <c r="H16" t="inlineStr">
        <is>
          <t>P0-4</t>
        </is>
      </c>
    </row>
    <row r="17" ht="17" customHeight="1">
      <c r="A17" t="inlineStr">
        <is>
          <t>S-11-08</t>
        </is>
      </c>
      <c r="B17" t="inlineStr">
        <is>
          <t>再読み込み</t>
        </is>
      </c>
      <c r="C17" t="inlineStr">
        <is>
          <t>（ボタン）</t>
        </is>
      </c>
      <c r="D17" t="inlineStr">
        <is>
          <t>F-23</t>
        </is>
      </c>
      <c r="E17" t="inlineStr">
        <is>
          <t>MSG-02</t>
        </is>
      </c>
      <c r="G17" t="inlineStr">
        <is>
          <t>🔵 P0-4 計画（未実装）</t>
        </is>
      </c>
      <c r="H17" t="inlineStr">
        <is>
          <t>P0-4</t>
        </is>
      </c>
    </row>
    <row r="18" ht="17" customHeight="1">
      <c r="A18" t="inlineStr">
        <is>
          <t>S-11-09</t>
        </is>
      </c>
      <c r="B18" t="inlineStr">
        <is>
          <t>（内部）現行バージョン</t>
        </is>
      </c>
      <c r="C18" t="inlineStr">
        <is>
          <t>CurrentVersion__c</t>
        </is>
      </c>
      <c r="D18" t="inlineStr">
        <is>
          <t>BD-07 §3・TERM-10</t>
        </is>
      </c>
      <c r="E18" t="inlineStr">
        <is>
          <t>—</t>
        </is>
      </c>
      <c r="F18" t="inlineStr">
        <is>
          <t>非表示・expectedVersion に利用</t>
        </is>
      </c>
      <c r="G18" t="inlineStr">
        <is>
          <t>🔵 P0-4 計画（未実装）</t>
        </is>
      </c>
      <c r="H18" t="inlineStr">
        <is>
          <t>P0-4</t>
        </is>
      </c>
    </row>
    <row r="19" ht="17" customHeight="1">
      <c r="A19" t="inlineStr">
        <is>
          <t>S-11-10</t>
        </is>
      </c>
      <c r="B19" t="inlineStr">
        <is>
          <t>（内部）外部ID</t>
        </is>
      </c>
      <c r="C19" t="inlineStr">
        <is>
          <t>BookingExternalId__c</t>
        </is>
      </c>
      <c r="D19" t="inlineStr">
        <is>
          <t>BD-07 §3・TERM-14</t>
        </is>
      </c>
      <c r="E19" t="inlineStr">
        <is>
          <t>—</t>
        </is>
      </c>
      <c r="F19" t="inlineStr">
        <is>
          <t>非表示・定位キー</t>
        </is>
      </c>
      <c r="G19" t="inlineStr">
        <is>
          <t>🔵 P0-4 計画（未実装）</t>
        </is>
      </c>
      <c r="H19" t="inlineStr">
        <is>
          <t>P0-4</t>
        </is>
      </c>
    </row>
    <row r="21">
      <c r="A21" s="22" t="inlineStr">
        <is>
          <t>■ エラーメッセージ ID（MSG・6 件・全部 S-11）</t>
        </is>
      </c>
      <c r="B21" s="23" t="n"/>
      <c r="C21" s="23" t="n"/>
      <c r="D21" s="23" t="n"/>
      <c r="E21" s="23" t="n"/>
      <c r="F21" s="23" t="n"/>
    </row>
    <row r="22">
      <c r="A22" s="21" t="inlineStr">
        <is>
          <t>メッセージID</t>
        </is>
      </c>
      <c r="B22" s="21" t="inlineStr">
        <is>
          <t>メッセージ文面（設計値）</t>
        </is>
      </c>
      <c r="C22" s="21" t="inlineStr">
        <is>
          <t>表示条件</t>
        </is>
      </c>
      <c r="D22" s="21" t="inlineStr">
        <is>
          <t>対象画面</t>
        </is>
      </c>
      <c r="E22" s="21" t="inlineStr">
        <is>
          <t>備考</t>
        </is>
      </c>
      <c r="F22" s="21" t="n"/>
      <c r="G22" s="21" t="inlineStr">
        <is>
          <t>实施状态</t>
        </is>
      </c>
      <c r="H22" s="21" t="inlineStr">
        <is>
          <t>工程</t>
        </is>
      </c>
    </row>
    <row r="23" ht="21" customHeight="1">
      <c r="A23" t="inlineStr">
        <is>
          <t>MSG-01</t>
        </is>
      </c>
      <c r="B23" t="inlineStr">
        <is>
          <t>表示できる予約データがありません</t>
        </is>
      </c>
      <c r="C23" t="inlineStr">
        <is>
          <t>自 Account の投影が 0 件のとき</t>
        </is>
      </c>
      <c r="D23" t="inlineStr">
        <is>
          <t>S-11</t>
        </is>
      </c>
      <c r="G23" t="inlineStr">
        <is>
          <t>🔵 P0-4 計画（設計値）</t>
        </is>
      </c>
      <c r="H23" t="inlineStr">
        <is>
          <t>P0-4（文言確定）</t>
        </is>
      </c>
    </row>
    <row r="24" ht="21" customHeight="1">
      <c r="A24" t="inlineStr">
        <is>
          <t>MSG-02</t>
        </is>
      </c>
      <c r="B24" t="inlineStr">
        <is>
          <t>データの取得に失敗しました。再読み込みしてください</t>
        </is>
      </c>
      <c r="C24" t="inlineStr">
        <is>
          <t>投影照会・状態照会の通信エラー</t>
        </is>
      </c>
      <c r="D24" t="inlineStr">
        <is>
          <t>S-11</t>
        </is>
      </c>
      <c r="G24" t="inlineStr">
        <is>
          <t>🔵 P0-4 計画（設計値）</t>
        </is>
      </c>
      <c r="H24" t="inlineStr">
        <is>
          <t>P0-4（文言確定）</t>
        </is>
      </c>
    </row>
    <row r="25" ht="21" customHeight="1">
      <c r="A25" t="inlineStr">
        <is>
          <t>MSG-03</t>
        </is>
      </c>
      <c r="B25" t="inlineStr">
        <is>
          <t>この操作は許可されていません</t>
        </is>
      </c>
      <c r="C25" t="inlineStr">
        <is>
          <t>権限不足・行級範囲外の操作時</t>
        </is>
      </c>
      <c r="D25" t="inlineStr">
        <is>
          <t>S-11</t>
        </is>
      </c>
      <c r="G25" t="inlineStr">
        <is>
          <t>🔵 P0-4 計画（設計値）</t>
        </is>
      </c>
      <c r="H25" t="inlineStr">
        <is>
          <t>P0-4（文言確定）</t>
        </is>
      </c>
    </row>
    <row r="26" ht="21" customHeight="1">
      <c r="A26" t="inlineStr">
        <is>
          <t>MSG-04</t>
        </is>
      </c>
      <c r="B26" t="inlineStr">
        <is>
          <t>この予約はキャンセルできません</t>
        </is>
      </c>
      <c r="C26" t="inlineStr">
        <is>
          <t>CANCELLED／COMPLETED 投影への取消操作時</t>
        </is>
      </c>
      <c r="D26" t="inlineStr">
        <is>
          <t>S-11</t>
        </is>
      </c>
      <c r="G26" t="inlineStr">
        <is>
          <t>🔵 P0-4 計画（設計値）</t>
        </is>
      </c>
      <c r="H26" t="inlineStr">
        <is>
          <t>P0-4（文言確定）</t>
        </is>
      </c>
    </row>
    <row r="27" ht="21" customHeight="1">
      <c r="A27" t="inlineStr">
        <is>
          <t>MSG-05</t>
        </is>
      </c>
      <c r="B27" t="inlineStr">
        <is>
          <t>キャンセル処理が完了しませんでした（状態：{status}）。詳細は管理者に確認してください</t>
        </is>
      </c>
      <c r="C27" t="inlineStr">
        <is>
          <t>ポーリング結果が CONFLICT／FAILED のとき</t>
        </is>
      </c>
      <c r="D27" t="inlineStr">
        <is>
          <t>S-11</t>
        </is>
      </c>
      <c r="G27" t="inlineStr">
        <is>
          <t>🔵 P0-4 計画（設計値）</t>
        </is>
      </c>
      <c r="H27" t="inlineStr">
        <is>
          <t>P0-4（文言確定）</t>
        </is>
      </c>
    </row>
    <row r="28" ht="21" customHeight="1">
      <c r="A28" t="inlineStr">
        <is>
          <t>MSG-06</t>
        </is>
      </c>
      <c r="B28" t="inlineStr">
        <is>
          <t>キャンセルを受け付けました（受付番号：{commandId}）。状態が更新され次第表示されます</t>
        </is>
      </c>
      <c r="C28" t="inlineStr">
        <is>
          <t>コマンド受理（commandId／QUEUED 返却）直後</t>
        </is>
      </c>
      <c r="D28" t="inlineStr">
        <is>
          <t>S-11</t>
        </is>
      </c>
      <c r="G28" t="inlineStr">
        <is>
          <t>🔵 P0-4 計画（設計値）</t>
        </is>
      </c>
      <c r="H28" t="inlineStr">
        <is>
          <t>P0-4（文言確定）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E5C8A"/>
    <outlinePr summaryBelow="1" summaryRight="1"/>
    <pageSetUpPr/>
  </sheetPr>
  <dimension ref="A1:G44"/>
  <sheetViews>
    <sheetView workbookViewId="0">
      <pane ySplit="3" topLeftCell="A4" activePane="bottomLeft" state="frozen"/>
      <selection activeCell="A1" sqref="A1"/>
      <selection pane="bottomLeft" activeCell="B10" sqref="B10"/>
    </sheetView>
  </sheetViews>
  <sheetFormatPr baseColWidth="8" defaultColWidth="9" defaultRowHeight="13.5"/>
  <cols>
    <col width="14" customWidth="1" min="1" max="1"/>
    <col width="146.375" customWidth="1" min="2" max="2"/>
    <col width="50.375" customWidth="1" min="3" max="3"/>
    <col width="42.75" customWidth="1" min="4" max="4"/>
    <col width="59.125" customWidth="1" min="5" max="5"/>
    <col width="36" customWidth="1" min="6" max="6"/>
    <col width="13.875" customWidth="1" min="7" max="7"/>
  </cols>
  <sheetData>
    <row r="1" ht="14.25" customHeight="1">
      <c r="A1" s="19" t="inlineStr">
        <is>
          <t>課題（ISS）・決策（G/ADR）・CHK-01 内部 ID</t>
        </is>
      </c>
    </row>
    <row r="2">
      <c r="A2" s="20" t="inlineStr">
        <is>
          <t>出典：RD-08（ISS）／interview-portfolio-tech-decisions.md §G・ADR（G/ADR）／CHK-01（内部 ID）。ISS は RD-08 外ゼロ参照の孤児系列（ID 台账 §5.3）。</t>
        </is>
      </c>
    </row>
    <row r="4">
      <c r="A4" s="22" t="inlineStr">
        <is>
          <t>■ 課題一覧（ISS・8 件）</t>
        </is>
      </c>
      <c r="B4" s="23" t="n"/>
      <c r="C4" s="23" t="n"/>
      <c r="D4" s="23" t="n"/>
      <c r="E4" s="23" t="n"/>
    </row>
    <row r="5">
      <c r="A5" s="21" t="inlineStr">
        <is>
          <t>課題ID</t>
        </is>
      </c>
      <c r="B5" s="21" t="inlineStr">
        <is>
          <t>課題内容（要約）</t>
        </is>
      </c>
      <c r="C5" s="21" t="inlineStr">
        <is>
          <t>影響度</t>
        </is>
      </c>
      <c r="D5" s="21" t="inlineStr">
        <is>
          <t>対応要件ID</t>
        </is>
      </c>
      <c r="E5" s="21" t="inlineStr">
        <is>
          <t>備考</t>
        </is>
      </c>
      <c r="F5" s="21" t="inlineStr">
        <is>
          <t>实施状态</t>
        </is>
      </c>
      <c r="G5" s="21" t="inlineStr">
        <is>
          <t>工程</t>
        </is>
      </c>
    </row>
    <row r="6">
      <c r="A6" t="inlineStr">
        <is>
          <t>ISS-01</t>
        </is>
      </c>
      <c r="B6" t="inlineStr">
        <is>
          <t>システム間の情報分断：確認のたびに Booking へ別ログイン＋目視照合</t>
        </is>
      </c>
      <c r="C6" t="inlineStr">
        <is>
          <t>高</t>
        </is>
      </c>
      <c r="D6" t="inlineStr">
        <is>
          <t>REQ-016, REQ-017, REQ-018, REQ-020</t>
        </is>
      </c>
      <c r="F6" t="inlineStr">
        <is>
          <t>対応計画済・未着手（P0-2〜P0-4）</t>
        </is>
      </c>
      <c r="G6" t="inlineStr">
        <is>
          <t>P0-2〜P0-4</t>
        </is>
      </c>
    </row>
    <row r="7">
      <c r="A7" t="inlineStr">
        <is>
          <t>ISS-02</t>
        </is>
      </c>
      <c r="B7" t="inlineStr">
        <is>
          <t>対応の滞留：取消が Booking 画面操作のみで SF 側から働きかけ不可</t>
        </is>
      </c>
      <c r="C7" t="inlineStr">
        <is>
          <t>中</t>
        </is>
      </c>
      <c r="D7" t="inlineStr">
        <is>
          <t>REQ-021, REQ-022, REQ-025</t>
        </is>
      </c>
      <c r="F7" t="inlineStr">
        <is>
          <t>対応計画済・未着手（P0-2〜P0-4）</t>
        </is>
      </c>
      <c r="G7" t="inlineStr">
        <is>
          <t>P0-2〜P0-4</t>
        </is>
      </c>
    </row>
    <row r="8">
      <c r="A8" t="inlineStr">
        <is>
          <t>ISS-03</t>
        </is>
      </c>
      <c r="B8" t="inlineStr">
        <is>
          <t>証跡・追跡性の欠如：相関 ID・エラー記録が存在しない</t>
        </is>
      </c>
      <c r="C8" t="inlineStr">
        <is>
          <t>中</t>
        </is>
      </c>
      <c r="D8" t="inlineStr">
        <is>
          <t>REQ-027, REQ-031</t>
        </is>
      </c>
      <c r="F8" t="inlineStr">
        <is>
          <t>部分対応（監査フィールド設置済〔P0-2 S-1/S-2〕・記録実装は P0-3 残）</t>
        </is>
      </c>
      <c r="G8" t="inlineStr">
        <is>
          <t>P0-2〜P0-4</t>
        </is>
      </c>
    </row>
    <row r="9">
      <c r="A9" t="inlineStr">
        <is>
          <t>ISS-04</t>
        </is>
      </c>
      <c r="B9" t="inlineStr">
        <is>
          <t>個人情報の管理リスク：PII 統制方針が未定義</t>
        </is>
      </c>
      <c r="C9" t="inlineStr">
        <is>
          <t>高</t>
        </is>
      </c>
      <c r="D9" t="inlineStr">
        <is>
          <t>REQ-019, REQ-030</t>
        </is>
      </c>
      <c r="F9" t="inlineStr">
        <is>
          <t>部分対応（方針凍結済〔RULE-11・CHK-01 C-2・2026-09-01〕）</t>
        </is>
      </c>
      <c r="G9" t="inlineStr">
        <is>
          <t>P0-2〜P0-4</t>
        </is>
      </c>
    </row>
    <row r="10">
      <c r="A10" t="inlineStr">
        <is>
          <t>ISS-05</t>
        </is>
      </c>
      <c r="B10" t="inlineStr">
        <is>
          <t>データ権威の不明瞭化リスク：正本が不明瞭になり二重管理</t>
        </is>
      </c>
      <c r="C10" t="inlineStr">
        <is>
          <t>中</t>
        </is>
      </c>
      <c r="D10" t="inlineStr">
        <is>
          <t>REQ-018, REQ-024, REQ-025, REQ-036</t>
        </is>
      </c>
      <c r="F10" t="inlineStr">
        <is>
          <t>対応計画済・未着手（P0-2〜P0-4）</t>
        </is>
      </c>
      <c r="G10" t="inlineStr">
        <is>
          <t>P0-2〜P0-4</t>
        </is>
      </c>
    </row>
    <row r="11">
      <c r="A11" t="inlineStr">
        <is>
          <t>ISS-06</t>
        </is>
      </c>
      <c r="B11" t="inlineStr">
        <is>
          <t>権限越境リスク：操作者特定の仕組みが未定義</t>
        </is>
      </c>
      <c r="C11" t="inlineStr">
        <is>
          <t>高</t>
        </is>
      </c>
      <c r="D11" t="inlineStr">
        <is>
          <t>REQ-014, REQ-026, REQ-029, REQ-030</t>
        </is>
      </c>
      <c r="F11" t="inlineStr">
        <is>
          <t>部分対応（設計確定〔CHK-02 C-3〕＋行級制御設置済〔P0-2 S-3/S-4〕・runtime 実装は P0-3 残）</t>
        </is>
      </c>
      <c r="G11" t="inlineStr">
        <is>
          <t>P0-2〜P0-4</t>
        </is>
      </c>
    </row>
    <row r="12">
      <c r="A12" t="inlineStr">
        <is>
          <t>ISS-07</t>
        </is>
      </c>
      <c r="B12" t="inlineStr">
        <is>
          <t>障害復旧が暫定的：Outbox/Worker 未導入・人手依存</t>
        </is>
      </c>
      <c r="C12" t="inlineStr">
        <is>
          <t>低〜中</t>
        </is>
      </c>
      <c r="D12" t="inlineStr">
        <is>
          <t>REQ-027, REQ-028（対応）／REQ-037（P1）</t>
        </is>
      </c>
      <c r="F12" t="inlineStr">
        <is>
          <t>対応計画済・未着手（P0-3 計画〔REQ-027/028・S-4/B-7 未実装〕・残り P1）</t>
        </is>
      </c>
      <c r="G12" t="inlineStr">
        <is>
          <t>P0＋P1</t>
        </is>
      </c>
    </row>
    <row r="13">
      <c r="A13" t="inlineStr">
        <is>
          <t>ISS-08</t>
        </is>
      </c>
      <c r="B13" t="inlineStr">
        <is>
          <t>利用者ライフサイクル運用の非自動：手作業（事前設定 1 名）</t>
        </is>
      </c>
      <c r="C13" t="inlineStr">
        <is>
          <t>低</t>
        </is>
      </c>
      <c r="D13" t="inlineStr">
        <is>
          <t>REQ-038（P1）</t>
        </is>
      </c>
      <c r="F13" t="inlineStr">
        <is>
          <t>未対応（P1）</t>
        </is>
      </c>
      <c r="G13" t="inlineStr">
        <is>
          <t>P1</t>
        </is>
      </c>
    </row>
    <row r="15">
      <c r="A15" s="22" t="inlineStr">
        <is>
          <t>■ G 決策寄存器（tech-decisions §G・7 件）</t>
        </is>
      </c>
      <c r="B15" s="23" t="n"/>
      <c r="C15" s="23" t="n"/>
      <c r="D15" s="23" t="n"/>
      <c r="E15" s="23" t="n"/>
    </row>
    <row r="16">
      <c r="A16" s="21" t="inlineStr">
        <is>
          <t>G 番号</t>
        </is>
      </c>
      <c r="B16" s="21" t="inlineStr">
        <is>
          <t>内容</t>
        </is>
      </c>
      <c r="C16" s="21" t="inlineStr">
        <is>
          <t>状態</t>
        </is>
      </c>
      <c r="D16" s="21" t="inlineStr">
        <is>
          <t>引用分布</t>
        </is>
      </c>
      <c r="E16" s="21" t="inlineStr">
        <is>
          <t>備考</t>
        </is>
      </c>
      <c r="F16" s="21" t="inlineStr">
        <is>
          <t>实施状态</t>
        </is>
      </c>
      <c r="G16" s="21" t="inlineStr">
        <is>
          <t>工程</t>
        </is>
      </c>
    </row>
    <row r="17">
      <c r="A17" t="inlineStr">
        <is>
          <t>G1</t>
        </is>
      </c>
      <c r="B17" t="inlineStr">
        <is>
          <t>—（語料無引用・無定義）</t>
        </is>
      </c>
      <c r="C17" t="inlineStr">
        <is>
          <t>未使用</t>
        </is>
      </c>
      <c r="D17" t="inlineStr">
        <is>
          <t>—</t>
        </is>
      </c>
      <c r="F17" t="inlineStr">
        <is>
          <t>—（未使用）</t>
        </is>
      </c>
      <c r="G17" t="inlineStr">
        <is>
          <t>—</t>
        </is>
      </c>
    </row>
    <row r="18">
      <c r="A18" t="inlineStr">
        <is>
          <t>G2</t>
        </is>
      </c>
      <c r="B18" t="inlineStr">
        <is>
          <t>—（語料無引用・無定義）</t>
        </is>
      </c>
      <c r="C18" t="inlineStr">
        <is>
          <t>未使用</t>
        </is>
      </c>
      <c r="D18" t="inlineStr">
        <is>
          <t>—</t>
        </is>
      </c>
      <c r="F18" t="inlineStr">
        <is>
          <t>—（未使用）</t>
        </is>
      </c>
      <c r="G18" t="inlineStr">
        <is>
          <t>—</t>
        </is>
      </c>
    </row>
    <row r="19">
      <c r="A19" t="inlineStr">
        <is>
          <t>G3</t>
        </is>
      </c>
      <c r="B19" t="inlineStr">
        <is>
          <t>Named Credential 目標 URL 選定（dev compose vs booking-deploy）</t>
        </is>
      </c>
      <c r="C19" t="inlineStr">
        <is>
          <t>未決・P0-3 NC 設定前</t>
        </is>
      </c>
      <c r="D19" t="inlineStr">
        <is>
          <t>引用 7 件（寄存器に file:line 全清单）</t>
        </is>
      </c>
      <c r="E19" t="inlineStr">
        <is>
          <t>RD-01 §4 未決 3 と同源</t>
        </is>
      </c>
      <c r="F19" t="inlineStr">
        <is>
          <t>✅ 決定済（2026-09-02・CHK-02 C-1＝booking-deploy 公網 HTTPS）</t>
        </is>
      </c>
      <c r="G19" t="inlineStr">
        <is>
          <t>P0-3</t>
        </is>
      </c>
    </row>
    <row r="20">
      <c r="A20" t="inlineStr">
        <is>
          <t>G4</t>
        </is>
      </c>
      <c r="B20" t="inlineStr">
        <is>
          <t>—（語料無引用・無定義）</t>
        </is>
      </c>
      <c r="C20" t="inlineStr">
        <is>
          <t>未使用</t>
        </is>
      </c>
      <c r="D20" t="inlineStr">
        <is>
          <t>—</t>
        </is>
      </c>
      <c r="E20" t="inlineStr">
        <is>
          <t>RD-04 の mermaid ノード名 PG4 とは別物</t>
        </is>
      </c>
      <c r="F20" t="inlineStr">
        <is>
          <t>—（未使用）</t>
        </is>
      </c>
      <c r="G20" t="inlineStr">
        <is>
          <t>—</t>
        </is>
      </c>
    </row>
    <row r="21">
      <c r="A21" t="inlineStr">
        <is>
          <t>G5</t>
        </is>
      </c>
      <c r="B21" t="inlineStr">
        <is>
          <t>—（語料無引用・無定義）</t>
        </is>
      </c>
      <c r="C21" t="inlineStr">
        <is>
          <t>未使用</t>
        </is>
      </c>
      <c r="D21" t="inlineStr">
        <is>
          <t>—</t>
        </is>
      </c>
      <c r="F21" t="inlineStr">
        <is>
          <t>—（未使用）</t>
        </is>
      </c>
      <c r="G21" t="inlineStr">
        <is>
          <t>—</t>
        </is>
      </c>
    </row>
    <row r="22">
      <c r="A22" t="inlineStr">
        <is>
          <t>G6</t>
        </is>
      </c>
      <c r="B22" t="inlineStr">
        <is>
          <t>—（語料無引用・無定義）</t>
        </is>
      </c>
      <c r="C22" t="inlineStr">
        <is>
          <t>未使用</t>
        </is>
      </c>
      <c r="D22" t="inlineStr">
        <is>
          <t>—</t>
        </is>
      </c>
      <c r="F22" t="inlineStr">
        <is>
          <t>—（未使用）</t>
        </is>
      </c>
      <c r="G22" t="inlineStr">
        <is>
          <t>—</t>
        </is>
      </c>
    </row>
    <row r="23">
      <c r="A23" t="inlineStr">
        <is>
          <t>G7</t>
        </is>
      </c>
      <c r="B23" t="inlineStr">
        <is>
          <t>投影記録保持方針：①投影は正本クリーンアップ対象外 ②遅延コマンドは 404/409 判定</t>
        </is>
      </c>
      <c r="C23" t="inlineStr">
        <is>
          <t>方针已定・決定記録成文済み（2026-09-01・p0-2/interview-portfolio-req033-decision-record.md・CHK-01 C-3 [x]）</t>
        </is>
      </c>
      <c r="D23" t="inlineStr">
        <is>
          <t>引用 15 件（寄存器に file:line 全清单）</t>
        </is>
      </c>
      <c r="E23" t="inlineStr">
        <is>
          <t>REQ-033・RULE-15 例外欄と整合</t>
        </is>
      </c>
      <c r="F23" t="inlineStr">
        <is>
          <t>✅ 決定記録成文済み（2026-09-01）</t>
        </is>
      </c>
      <c r="G23" t="inlineStr">
        <is>
          <t>P0-2</t>
        </is>
      </c>
    </row>
    <row r="25">
      <c r="A25" s="22" t="inlineStr">
        <is>
          <t>■ ADR（tech-decisions・2 件）</t>
        </is>
      </c>
      <c r="B25" s="23" t="n"/>
      <c r="C25" s="23" t="n"/>
      <c r="D25" s="23" t="n"/>
      <c r="E25" s="23" t="n"/>
      <c r="F25" s="21" t="inlineStr">
        <is>
          <t>实施状态</t>
        </is>
      </c>
      <c r="G25" s="21" t="inlineStr">
        <is>
          <t>工程</t>
        </is>
      </c>
    </row>
    <row r="26">
      <c r="A26" t="inlineStr">
        <is>
          <t>ADR-1</t>
        </is>
      </c>
      <c r="B26" t="inlineStr">
        <is>
          <t>投影/命令リンクは Apex 三文献（BookingProjectionRest／BookingCommandQueueable／BookingSiteController）を維持。Flow 代替は評価のうえ否決</t>
        </is>
      </c>
      <c r="E26" t="inlineStr">
        <is>
          <t>tech-decisions §ADR-1</t>
        </is>
      </c>
      <c r="F26" t="inlineStr">
        <is>
          <t>✅ 決定済（2026-08-31）</t>
        </is>
      </c>
      <c r="G26" t="inlineStr">
        <is>
          <t>—</t>
        </is>
      </c>
    </row>
    <row r="27">
      <c r="A27" t="inlineStr">
        <is>
          <t>ADR-2</t>
        </is>
      </c>
      <c r="B27" t="inlineStr">
        <is>
          <t>P0 は Trigger なしを維持。バージョン防御は validation rule PRIORVALUE。P1 で 2 条件（CDC 防環・動的投影）を再評価</t>
        </is>
      </c>
      <c r="E27" t="inlineStr">
        <is>
          <t>tech-decisions §ADR-2</t>
        </is>
      </c>
      <c r="F27" t="inlineStr">
        <is>
          <t>✅ 決定済（2026-08-31）</t>
        </is>
      </c>
      <c r="G27" t="inlineStr">
        <is>
          <t>—</t>
        </is>
      </c>
    </row>
    <row r="29">
      <c r="A29" s="22" t="inlineStr">
        <is>
          <t>■ 工程 ID（P0-n・ID 台账 §2.5・PPT-01 出典）</t>
        </is>
      </c>
      <c r="B29" s="23" t="n"/>
      <c r="C29" s="23" t="n"/>
      <c r="D29" s="23" t="n"/>
      <c r="E29" s="23" t="n"/>
    </row>
    <row r="30">
      <c r="A30" s="21" t="inlineStr">
        <is>
          <t>工程 ID</t>
        </is>
      </c>
      <c r="B30" s="21" t="inlineStr">
        <is>
          <t>名称</t>
        </is>
      </c>
      <c r="C30" s="21" t="inlineStr">
        <is>
          <t>状態</t>
        </is>
      </c>
      <c r="D30" s="21" t="inlineStr">
        <is>
          <t>ゲート</t>
        </is>
      </c>
      <c r="E30" s="21" t="inlineStr">
        <is>
          <t>備考</t>
        </is>
      </c>
      <c r="F30" s="21" t="inlineStr">
        <is>
          <t>实施状态</t>
        </is>
      </c>
      <c r="G30" s="21" t="inlineStr">
        <is>
          <t>工程</t>
        </is>
      </c>
    </row>
    <row r="31">
      <c r="A31" t="inlineStr">
        <is>
          <t>P0-0</t>
        </is>
      </c>
      <c r="B31" t="inlineStr">
        <is>
          <t>公開リスク止血（README）</t>
        </is>
      </c>
      <c r="C31" t="inlineStr">
        <is>
          <t>✅ 完了</t>
        </is>
      </c>
      <c r="D31" t="inlineStr">
        <is>
          <t>措施完了</t>
        </is>
      </c>
      <c r="E31" t="inlineStr">
        <is>
          <t>PR #4 合并</t>
        </is>
      </c>
      <c r="F31" t="inlineStr">
        <is>
          <t>✅ 完了</t>
        </is>
      </c>
    </row>
    <row r="32">
      <c r="A32" t="inlineStr">
        <is>
          <t>P0-1</t>
        </is>
      </c>
      <c r="B32" t="inlineStr">
        <is>
          <t>Org/Site 前置条件</t>
        </is>
      </c>
      <c r="C32" t="inlineStr">
        <is>
          <t>✅ 閉鎖</t>
        </is>
      </c>
      <c r="D32" t="inlineStr">
        <is>
          <t>Site 到達・ログイン成功（MV-03）</t>
        </is>
      </c>
      <c r="E32" t="inlineStr">
        <is>
          <t>権限マトリクス凍結は P0-2 へ让渡</t>
        </is>
      </c>
      <c r="F32" t="inlineStr">
        <is>
          <t>✅ 完了</t>
        </is>
      </c>
    </row>
    <row r="33">
      <c r="A33" t="inlineStr">
        <is>
          <t>P0-2</t>
        </is>
      </c>
      <c r="B33" t="inlineStr">
        <is>
          <t>データとコマンド契約凍結</t>
        </is>
      </c>
      <c r="C33" t="inlineStr">
        <is>
          <t>✅ 完了（2026-09-02・G-3 確定）</t>
        </is>
      </c>
      <c r="D33" t="inlineStr">
        <is>
          <t>CHK-01 §7 G-1〜G-3（双方独立実装可能）</t>
        </is>
      </c>
      <c r="E33" t="inlineStr">
        <is>
          <t>本ブックの母体資料</t>
        </is>
      </c>
      <c r="F33" t="inlineStr">
        <is>
          <t>✅ 完了（2026-09-02・G-3 確定）</t>
        </is>
      </c>
    </row>
    <row r="34">
      <c r="A34" t="inlineStr">
        <is>
          <t>P0-3</t>
        </is>
      </c>
      <c r="B34" t="inlineStr">
        <is>
          <t>サーバ縦断ループ</t>
        </is>
      </c>
      <c r="C34" t="inlineStr">
        <is>
          <t>🔵 進行中（SF 側 S-1〜S-3 済〔11a7c78/907fe02/6b9d970〕・S-4/S-5/B 系 残）</t>
        </is>
      </c>
      <c r="D34" t="inlineStr">
        <is>
          <t>MV-04/05/06・08〜11 自動化テスト合格</t>
        </is>
      </c>
      <c r="E34" t="inlineStr">
        <is>
          <t>BookingProjectionRest 等 Apex 三文献＋Booking 統合端点</t>
        </is>
      </c>
      <c r="F34" t="inlineStr">
        <is>
          <t>🔵 進行中（SF 側 S-1〜S-3 済・S-4/S-5/T-2〜T-5 残）</t>
        </is>
      </c>
    </row>
    <row r="35">
      <c r="A35" t="inlineStr">
        <is>
          <t>P0-4</t>
        </is>
      </c>
      <c r="B35" t="inlineStr">
        <is>
          <t>Site UI（LWC）</t>
        </is>
      </c>
      <c r="C35" t="inlineStr">
        <is>
          <t>⬜ 未着手</t>
        </is>
      </c>
      <c r="D35" t="inlineStr">
        <is>
          <t>MV-01〜03・07〜08 ブラウザ検証可</t>
        </is>
      </c>
      <c r="E35" t="inlineStr">
        <is>
          <t>S-11 独自 LWC・F-21 入口ボタン</t>
        </is>
      </c>
      <c r="F35" t="inlineStr">
        <is>
          <t>⬜ 未着手</t>
        </is>
      </c>
    </row>
    <row r="36">
      <c r="A36" t="inlineStr">
        <is>
          <t>P0-5</t>
        </is>
      </c>
      <c r="B36" t="inlineStr">
        <is>
          <t>証跡パッケージ</t>
        </is>
      </c>
      <c r="C36" t="inlineStr">
        <is>
          <t>⬜ 未着手</t>
        </is>
      </c>
      <c r="D36" t="inlineStr">
        <is>
          <t>GO 判定（mvp-validation §8）</t>
        </is>
      </c>
      <c r="E36" t="inlineStr">
        <is>
          <t>MV-01〜11 全証跡</t>
        </is>
      </c>
      <c r="F36" t="inlineStr">
        <is>
          <t>⬜ 未着手</t>
        </is>
      </c>
    </row>
    <row r="37">
      <c r="A37" t="inlineStr">
        <is>
          <t>P1</t>
        </is>
      </c>
      <c r="B37" t="inlineStr">
        <is>
          <t>Outbox/Worker・動的 provisioning・Retry UI・周期対合</t>
        </is>
      </c>
      <c r="C37" t="inlineStr">
        <is>
          <t>⚪ 保留</t>
        </is>
      </c>
      <c r="D37" t="inlineStr">
        <is>
          <t>—（P0 の前置条件ではない）</t>
        </is>
      </c>
      <c r="E37" t="inlineStr">
        <is>
          <t>REQ-037/038・RULE-10 UI</t>
        </is>
      </c>
      <c r="F37" t="inlineStr">
        <is>
          <t>⚪ 保留</t>
        </is>
      </c>
    </row>
    <row r="39">
      <c r="A39" s="22" t="inlineStr">
        <is>
          <t>■ CHK-01 内部 ID（5 系列・引用時は必ず CHK-01 限定符を付す）</t>
        </is>
      </c>
      <c r="B39" s="23" t="n"/>
      <c r="C39" s="23" t="n"/>
      <c r="D39" s="23" t="n"/>
      <c r="E39" s="23" t="n"/>
      <c r="F39" s="21" t="inlineStr">
        <is>
          <t>实施状态</t>
        </is>
      </c>
    </row>
    <row r="40">
      <c r="A40" t="inlineStr">
        <is>
          <t>C-1〜C-8</t>
        </is>
      </c>
      <c r="B40" t="inlineStr">
        <is>
          <t>契約凍結事項（§3）</t>
        </is>
      </c>
      <c r="C40" t="inlineStr">
        <is>
          <t>tech-decisions G7 行が「CHK-01 C-3」形式で引用</t>
        </is>
      </c>
      <c r="F40" t="inlineStr">
        <is>
          <t>✅ 全決定済（2026-09-01・CHK-01 C-1〜C-8）</t>
        </is>
      </c>
      <c r="G40" t="inlineStr">
        <is>
          <t>P0-2</t>
        </is>
      </c>
    </row>
    <row r="41">
      <c r="A41" t="inlineStr">
        <is>
          <t>B-1〜B-3</t>
        </is>
      </c>
      <c r="B41" t="inlineStr">
        <is>
          <t>migration 実施・差分レビュー（§4）</t>
        </is>
      </c>
      <c r="F41" t="inlineStr">
        <is>
          <t>✅ 実施済（2026-09-02・71c88c8）</t>
        </is>
      </c>
      <c r="G41" t="inlineStr">
        <is>
          <t>P0-2</t>
        </is>
      </c>
    </row>
    <row r="42">
      <c r="A42" t="inlineStr">
        <is>
          <t>S-1〜S-5</t>
        </is>
      </c>
      <c r="B42" t="inlineStr">
        <is>
          <t>SF 側実施項（§5）※画面 S-01〜11 と前綴衝突</t>
        </is>
      </c>
      <c r="C42" t="inlineStr">
        <is>
          <t>ID 台账 §5.4 参照</t>
        </is>
      </c>
      <c r="F42" t="inlineStr">
        <is>
          <t>✅ 実施済（2026-09-02・aec1bf4/f020618/bc7a4ac）</t>
        </is>
      </c>
      <c r="G42" t="inlineStr">
        <is>
          <t>P0-2/P0-4</t>
        </is>
      </c>
    </row>
    <row r="43">
      <c r="A43" t="inlineStr">
        <is>
          <t>D-1〜D-5</t>
        </is>
      </c>
      <c r="B43" t="inlineStr">
        <is>
          <t>既存文書回写事項（§6）</t>
        </is>
      </c>
      <c r="F43" t="inlineStr">
        <is>
          <t>✅ 全実施（D-1〜D-5・2026-09-02）</t>
        </is>
      </c>
      <c r="G43" t="inlineStr">
        <is>
          <t>—（回写済）</t>
        </is>
      </c>
    </row>
    <row r="44">
      <c r="A44" t="inlineStr">
        <is>
          <t>G-1〜G-3</t>
        </is>
      </c>
      <c r="B44" t="inlineStr">
        <is>
          <t>gate 判定（§7）※G 寄存器 G1〜G7 と前綴衝突</t>
        </is>
      </c>
      <c r="C44" t="inlineStr">
        <is>
          <t>連字符有無が口徑差</t>
        </is>
      </c>
      <c r="F44" t="inlineStr">
        <is>
          <t>✅ G-1〜G-3 通過（2026-09-02・G-3 確定）</t>
        </is>
      </c>
      <c r="G44" t="inlineStr">
        <is>
          <t>P0-2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2E5C8A"/>
    <outlinePr summaryBelow="1" summaryRight="1"/>
    <pageSetUpPr/>
  </sheetPr>
  <dimension ref="A1:D39"/>
  <sheetViews>
    <sheetView workbookViewId="0">
      <pane ySplit="3" topLeftCell="A4" activePane="bottomLeft" state="frozen"/>
      <selection activeCell="A1" sqref="A1"/>
      <selection pane="bottomLeft" activeCell="B31" sqref="B31"/>
    </sheetView>
  </sheetViews>
  <sheetFormatPr baseColWidth="8" defaultColWidth="9" defaultRowHeight="13.5"/>
  <cols>
    <col width="14" customWidth="1" min="1" max="1"/>
    <col width="77.125" customWidth="1" min="2" max="2"/>
    <col width="26.625" customWidth="1" min="3" max="3"/>
    <col width="22" customWidth="1" min="4" max="4"/>
  </cols>
  <sheetData>
    <row r="1" ht="14.25" customHeight="1">
      <c r="A1" s="19" t="inlineStr">
        <is>
          <t>文書 ID 台帳（IDR-01 §2.1/§3 出典）</t>
        </is>
      </c>
    </row>
    <row r="2">
      <c r="A2" s="20" t="inlineStr">
        <is>
          <t>◆＝定義源（采番処）。パスは docs/asset 相対。無 ID 文書 9 件は「—（無 ID）」行で収容。</t>
        </is>
      </c>
    </row>
    <row r="3">
      <c r="A3" s="21" t="inlineStr">
        <is>
          <t>文書ID</t>
        </is>
      </c>
      <c r="B3" s="21" t="inlineStr">
        <is>
          <t>ファイル（docs/asset 相対）</t>
        </is>
      </c>
      <c r="C3" s="21" t="inlineStr">
        <is>
          <t>定義系列（◆＝定義源）</t>
        </is>
      </c>
      <c r="D3" s="21" t="inlineStr">
        <is>
          <t>实施状态</t>
        </is>
      </c>
    </row>
    <row r="4">
      <c r="A4" t="inlineStr">
        <is>
          <t>RD-01</t>
        </is>
      </c>
      <c r="B4" t="inlineStr">
        <is>
          <t>requirement-definition/01_要件一覧.md</t>
        </is>
      </c>
      <c r="C4" t="inlineStr">
        <is>
          <t>REQ ◆</t>
        </is>
      </c>
      <c r="D4" t="inlineStr">
        <is>
          <t>✅ 作成済</t>
        </is>
      </c>
    </row>
    <row r="5">
      <c r="A5" t="inlineStr">
        <is>
          <t>RD-02</t>
        </is>
      </c>
      <c r="B5" t="inlineStr">
        <is>
          <t>requirement-definition/02_非機能要件一覧.md</t>
        </is>
      </c>
      <c r="C5" t="inlineStr">
        <is>
          <t>NFR ◆</t>
        </is>
      </c>
      <c r="D5" t="inlineStr">
        <is>
          <t>✅ 作成済</t>
        </is>
      </c>
    </row>
    <row r="6">
      <c r="A6" t="inlineStr">
        <is>
          <t>RD-03</t>
        </is>
      </c>
      <c r="B6" t="inlineStr">
        <is>
          <t>requirement-definition/03_業務一覧.md</t>
        </is>
      </c>
      <c r="C6" t="inlineStr">
        <is>
          <t>BIZ ◆</t>
        </is>
      </c>
      <c r="D6" t="inlineStr">
        <is>
          <t>✅ 作成済</t>
        </is>
      </c>
    </row>
    <row r="7">
      <c r="A7" t="inlineStr">
        <is>
          <t>RD-04</t>
        </is>
      </c>
      <c r="B7" t="inlineStr">
        <is>
          <t>requirement-definition/04_業務フロー.md</t>
        </is>
      </c>
      <c r="C7" t="inlineStr">
        <is>
          <t>図1〜7（局所）</t>
        </is>
      </c>
      <c r="D7" t="inlineStr">
        <is>
          <t>✅ 作成済</t>
        </is>
      </c>
    </row>
    <row r="8">
      <c r="A8" t="inlineStr">
        <is>
          <t>RD-05</t>
        </is>
      </c>
      <c r="B8" t="inlineStr">
        <is>
          <t>requirement-definition/05_業務ルール一覧.md</t>
        </is>
      </c>
      <c r="C8" t="inlineStr">
        <is>
          <t>RULE ◆</t>
        </is>
      </c>
      <c r="D8" t="inlineStr">
        <is>
          <t>✅ 作成済</t>
        </is>
      </c>
    </row>
    <row r="9">
      <c r="A9" t="inlineStr">
        <is>
          <t>RD-06</t>
        </is>
      </c>
      <c r="B9" t="inlineStr">
        <is>
          <t>requirement-definition/06_用語集.md</t>
        </is>
      </c>
      <c r="C9" t="inlineStr">
        <is>
          <t>TERM ◆</t>
        </is>
      </c>
      <c r="D9" t="inlineStr">
        <is>
          <t>✅ 作成済</t>
        </is>
      </c>
    </row>
    <row r="10">
      <c r="A10" t="inlineStr">
        <is>
          <t>RD-07</t>
        </is>
      </c>
      <c r="B10" t="inlineStr">
        <is>
          <t>requirement-definition/07_システム化範囲.md</t>
        </is>
      </c>
      <c r="C10" t="inlineStr">
        <is>
          <t>—</t>
        </is>
      </c>
      <c r="D10" t="inlineStr">
        <is>
          <t>✅ 作成済</t>
        </is>
      </c>
    </row>
    <row r="11">
      <c r="A11" t="inlineStr">
        <is>
          <t>RD-08</t>
        </is>
      </c>
      <c r="B11" t="inlineStr">
        <is>
          <t>requirement-definition/08_ToBe業務モデルと現状課題.md</t>
        </is>
      </c>
      <c r="C11" t="inlineStr">
        <is>
          <t>ISS ◆（孤児系列）</t>
        </is>
      </c>
      <c r="D11" t="inlineStr">
        <is>
          <t>✅ 作成済</t>
        </is>
      </c>
    </row>
    <row r="12">
      <c r="A12" t="inlineStr">
        <is>
          <t>BD-01</t>
        </is>
      </c>
      <c r="B12" t="inlineStr">
        <is>
          <t>basic-design/system-architecture.md</t>
        </is>
      </c>
      <c r="C12" t="inlineStr">
        <is>
          <t>A1〜A4 ◆</t>
        </is>
      </c>
      <c r="D12" t="inlineStr">
        <is>
          <t>✅ 作成済</t>
        </is>
      </c>
    </row>
    <row r="13">
      <c r="A13" t="inlineStr">
        <is>
          <t>BD-02</t>
        </is>
      </c>
      <c r="B13" t="inlineStr">
        <is>
          <t>basic-design/function-list.md</t>
        </is>
      </c>
      <c r="C13" t="inlineStr">
        <is>
          <t>F ◆</t>
        </is>
      </c>
      <c r="D13" t="inlineStr">
        <is>
          <t>✅ 作成済</t>
        </is>
      </c>
    </row>
    <row r="14">
      <c r="A14" t="inlineStr">
        <is>
          <t>BD-03</t>
        </is>
      </c>
      <c r="B14" t="inlineStr">
        <is>
          <t>basic-design/function-design.md</t>
        </is>
      </c>
      <c r="C14" t="inlineStr">
        <is>
          <t>—</t>
        </is>
      </c>
      <c r="D14" t="inlineStr">
        <is>
          <t>✅ 作成済</t>
        </is>
      </c>
    </row>
    <row r="15">
      <c r="A15" t="inlineStr">
        <is>
          <t>BD-04</t>
        </is>
      </c>
      <c r="B15" t="inlineStr">
        <is>
          <t>basic-design/screens.md</t>
        </is>
      </c>
      <c r="C15" t="inlineStr">
        <is>
          <t>S ◆</t>
        </is>
      </c>
      <c r="D15" t="inlineStr">
        <is>
          <t>✅ 作成済</t>
        </is>
      </c>
    </row>
    <row r="16">
      <c r="A16" t="inlineStr">
        <is>
          <t>BD-05</t>
        </is>
      </c>
      <c r="B16" t="inlineStr">
        <is>
          <t>basic-design/screen-items.md</t>
        </is>
      </c>
      <c r="C16" t="inlineStr">
        <is>
          <t>MSG ◆・S-xx-yy ◆</t>
        </is>
      </c>
      <c r="D16" t="inlineStr">
        <is>
          <t>✅ 作成済</t>
        </is>
      </c>
    </row>
    <row r="17">
      <c r="A17" t="inlineStr">
        <is>
          <t>BD-06</t>
        </is>
      </c>
      <c r="B17" t="inlineStr">
        <is>
          <t>basic-design/reports.md</t>
        </is>
      </c>
      <c r="C17" t="inlineStr">
        <is>
          <t>—</t>
        </is>
      </c>
      <c r="D17" t="inlineStr">
        <is>
          <t>✅ 作成済</t>
        </is>
      </c>
    </row>
    <row r="18">
      <c r="A18" t="inlineStr">
        <is>
          <t>BD-07</t>
        </is>
      </c>
      <c r="B18" t="inlineStr">
        <is>
          <t>basic-design/erd.md</t>
        </is>
      </c>
      <c r="C18" t="inlineStr">
        <is>
          <t>—</t>
        </is>
      </c>
      <c r="D18" t="inlineStr">
        <is>
          <t>✅ 作成済</t>
        </is>
      </c>
    </row>
    <row r="19">
      <c r="A19" t="inlineStr">
        <is>
          <t>BD-08</t>
        </is>
      </c>
      <c r="B19" t="inlineStr">
        <is>
          <t>basic-design/code-list.md</t>
        </is>
      </c>
      <c r="C19" t="inlineStr">
        <is>
          <t>CD ◆</t>
        </is>
      </c>
      <c r="D19" t="inlineStr">
        <is>
          <t>✅ 作成済</t>
        </is>
      </c>
    </row>
    <row r="20">
      <c r="A20" t="inlineStr">
        <is>
          <t>BD-09</t>
        </is>
      </c>
      <c r="B20" t="inlineStr">
        <is>
          <t>basic-design/interface-design.md</t>
        </is>
      </c>
      <c r="C20" t="inlineStr">
        <is>
          <t>IF ◆</t>
        </is>
      </c>
      <c r="D20" t="inlineStr">
        <is>
          <t>✅ 作成済</t>
        </is>
      </c>
    </row>
    <row r="21">
      <c r="A21" t="inlineStr">
        <is>
          <t>BD-10</t>
        </is>
      </c>
      <c r="B21" t="inlineStr">
        <is>
          <t>basic-design/nonfunctional-design.md</t>
        </is>
      </c>
      <c r="C21" t="inlineStr">
        <is>
          <t>—（NFR 設計承接）</t>
        </is>
      </c>
      <c r="D21" t="inlineStr">
        <is>
          <t>✅ 作成済</t>
        </is>
      </c>
    </row>
    <row r="22">
      <c r="A22" t="inlineStr">
        <is>
          <t>BD-11</t>
        </is>
      </c>
      <c r="B22" t="inlineStr">
        <is>
          <t>basic-design/common-design.md</t>
        </is>
      </c>
      <c r="C22" t="inlineStr">
        <is>
          <t>CF ◆</t>
        </is>
      </c>
      <c r="D22" t="inlineStr">
        <is>
          <t>✅ 作成済</t>
        </is>
      </c>
    </row>
    <row r="23">
      <c r="A23" t="inlineStr">
        <is>
          <t>BD-12</t>
        </is>
      </c>
      <c r="B23" t="inlineStr">
        <is>
          <t>basic-design/data-migration.md</t>
        </is>
      </c>
      <c r="C23" t="inlineStr">
        <is>
          <t>—</t>
        </is>
      </c>
      <c r="D23" t="inlineStr">
        <is>
          <t>✅ 作成済</t>
        </is>
      </c>
    </row>
    <row r="24">
      <c r="A24" t="inlineStr">
        <is>
          <t>DD-01</t>
        </is>
      </c>
      <c r="B24" t="inlineStr">
        <is>
          <t>detailed-design/table-definitions.md</t>
        </is>
      </c>
      <c r="C24" t="inlineStr">
        <is>
          <t>—</t>
        </is>
      </c>
      <c r="D24" t="inlineStr">
        <is>
          <t>✅ 作成済</t>
        </is>
      </c>
    </row>
    <row r="25">
      <c r="A25" t="inlineStr">
        <is>
          <t>DD-02</t>
        </is>
      </c>
      <c r="B25" t="inlineStr">
        <is>
          <t>detailed-design/module-design.md</t>
        </is>
      </c>
      <c r="C25" t="inlineStr">
        <is>
          <t>—</t>
        </is>
      </c>
      <c r="D25" t="inlineStr">
        <is>
          <t>✅ 作成済</t>
        </is>
      </c>
    </row>
    <row r="26">
      <c r="A26" t="inlineStr">
        <is>
          <t>DD-03</t>
        </is>
      </c>
      <c r="B26" t="inlineStr">
        <is>
          <t>detailed-design/batch-design.md</t>
        </is>
      </c>
      <c r="C26" t="inlineStr">
        <is>
          <t>—</t>
        </is>
      </c>
      <c r="D26" t="inlineStr">
        <is>
          <t>✅ 作成済</t>
        </is>
      </c>
    </row>
    <row r="27">
      <c r="A27" t="inlineStr">
        <is>
          <t>DD-04</t>
        </is>
      </c>
      <c r="B27" t="inlineStr">
        <is>
          <t>detailed-design/unit-test-spec.md</t>
        </is>
      </c>
      <c r="C27" t="inlineStr">
        <is>
          <t>TC ◆</t>
        </is>
      </c>
      <c r="D27" t="inlineStr">
        <is>
          <t>✅ 作成済</t>
        </is>
      </c>
    </row>
    <row r="28">
      <c r="A28" t="inlineStr">
        <is>
          <t>PPT-01</t>
        </is>
      </c>
      <c r="B28" t="inlineStr">
        <is>
          <t>interview-portfolio-phase-table.md</t>
        </is>
      </c>
      <c r="C28" t="inlineStr">
        <is>
          <t>—（工程表）</t>
        </is>
      </c>
      <c r="D28" t="inlineStr">
        <is>
          <t>✅ 作成済</t>
        </is>
      </c>
    </row>
    <row r="29">
      <c r="A29" t="inlineStr">
        <is>
          <t>CHK-01</t>
        </is>
      </c>
      <c r="B29" t="inlineStr">
        <is>
          <t>p0-2/interview-portfolio-p02-checklist.md</t>
        </is>
      </c>
      <c r="C29" t="inlineStr">
        <is>
          <t>C/B/S/D/G- 内部 ID ◆</t>
        </is>
      </c>
      <c r="D29" t="inlineStr">
        <is>
          <t>✅ 作成済</t>
        </is>
      </c>
    </row>
    <row r="30">
      <c r="A30" t="inlineStr">
        <is>
          <t>IDR-01</t>
        </is>
      </c>
      <c r="B30" t="inlineStr">
        <is>
          <t>requirement-definition-draft/interview-portfolio-id-registry.md</t>
        </is>
      </c>
      <c r="C30" t="inlineStr">
        <is>
          <t>ID 台账（本ブックの出处）</t>
        </is>
      </c>
      <c r="D30" t="inlineStr">
        <is>
          <t>✅ 作成済</t>
        </is>
      </c>
    </row>
    <row r="31">
      <c r="A31" t="inlineStr">
        <is>
          <t>—（無 ID）</t>
        </is>
      </c>
      <c r="B31" t="inlineStr">
        <is>
          <t>experience-site-mvp-validation.md</t>
        </is>
      </c>
      <c r="C31" t="inlineStr">
        <is>
          <t>MV ◆・P0-n ◆</t>
        </is>
      </c>
      <c r="D31" t="inlineStr">
        <is>
          <t>✅ 作成済（無 ID）</t>
        </is>
      </c>
    </row>
    <row r="32">
      <c r="A32" t="inlineStr">
        <is>
          <t>—（無 ID）</t>
        </is>
      </c>
      <c r="B32" t="inlineStr">
        <is>
          <t>experience-site-interview-mvp-focus.md</t>
        </is>
      </c>
      <c r="C32" t="inlineStr">
        <is>
          <t>—</t>
        </is>
      </c>
      <c r="D32" t="inlineStr">
        <is>
          <t>✅ 作成済（無 ID）</t>
        </is>
      </c>
    </row>
    <row r="33">
      <c r="A33" t="inlineStr">
        <is>
          <t>—（無 ID）</t>
        </is>
      </c>
      <c r="B33" t="inlineStr">
        <is>
          <t>experience-site-business-sequence.md</t>
        </is>
      </c>
      <c r="C33" t="inlineStr">
        <is>
          <t>—</t>
        </is>
      </c>
      <c r="D33" t="inlineStr">
        <is>
          <t>✅ 作成済（無 ID）</t>
        </is>
      </c>
    </row>
    <row r="34">
      <c r="A34" t="inlineStr">
        <is>
          <t>—（無 ID）</t>
        </is>
      </c>
      <c r="B34" t="inlineStr">
        <is>
          <t>interview-portfolio-tech-decisions.md</t>
        </is>
      </c>
      <c r="C34" t="inlineStr">
        <is>
          <t>ADR ◆・G ◆</t>
        </is>
      </c>
      <c r="D34" t="inlineStr">
        <is>
          <t>✅ 作成済（無 ID）</t>
        </is>
      </c>
    </row>
    <row r="35">
      <c r="A35" t="inlineStr">
        <is>
          <t>—（無 ID）</t>
        </is>
      </c>
      <c r="B35" t="inlineStr">
        <is>
          <t>readme-salesforce-auth-template-audit.md</t>
        </is>
      </c>
      <c r="C35" t="inlineStr">
        <is>
          <t>—</t>
        </is>
      </c>
      <c r="D35" t="inlineStr">
        <is>
          <t>✅ 作成済（無 ID）</t>
        </is>
      </c>
    </row>
    <row r="36">
      <c r="A36" t="inlineStr">
        <is>
          <t>—（無 ID）</t>
        </is>
      </c>
      <c r="B36" t="inlineStr">
        <is>
          <t>requirement-definition-draft/interview-portfolio-business-flow.md</t>
        </is>
      </c>
      <c r="C36" t="inlineStr">
        <is>
          <t>—</t>
        </is>
      </c>
      <c r="D36" t="inlineStr">
        <is>
          <t>✅ 作成済（無 ID）</t>
        </is>
      </c>
    </row>
    <row r="37">
      <c r="A37" t="inlineStr">
        <is>
          <t>—（無 ID）</t>
        </is>
      </c>
      <c r="B37" t="inlineStr">
        <is>
          <t>requirement-definition-draft/interview-portfolio-business-overview.md</t>
        </is>
      </c>
      <c r="C37" t="inlineStr">
        <is>
          <t>—</t>
        </is>
      </c>
      <c r="D37" t="inlineStr">
        <is>
          <t>✅ 作成済（無 ID）</t>
        </is>
      </c>
    </row>
    <row r="38">
      <c r="A38" t="inlineStr">
        <is>
          <t>—（無 ID）</t>
        </is>
      </c>
      <c r="B38" t="inlineStr">
        <is>
          <t>requirement-definition-draft/interview-portfolio-business-sequence.md</t>
        </is>
      </c>
      <c r="C38" t="inlineStr">
        <is>
          <t>F2〜F5 局所段番号</t>
        </is>
      </c>
      <c r="D38" t="inlineStr">
        <is>
          <t>✅ 作成済（無 ID）</t>
        </is>
      </c>
    </row>
    <row r="39">
      <c r="A39" t="inlineStr">
        <is>
          <t>—（無 ID）</t>
        </is>
      </c>
      <c r="B39" t="inlineStr">
        <is>
          <t>p0-2/interview-portfolio-req033-decision-record.md</t>
        </is>
      </c>
      <c r="C39" t="inlineStr">
        <is>
          <t>G（局所）</t>
        </is>
      </c>
      <c r="D39" t="inlineStr">
        <is>
          <t>✅ 作成済（無 ID）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BL64"/>
  <sheetViews>
    <sheetView workbookViewId="0">
      <pane xSplit="1" ySplit="3" topLeftCell="B24" activePane="bottomRight" state="frozen"/>
      <selection activeCell="A1" sqref="A1"/>
      <selection pane="topRight" activeCell="A1" sqref="A1"/>
      <selection pane="bottomLeft" activeCell="A1" sqref="A1"/>
      <selection pane="bottomRight" activeCell="AC73" sqref="AC73"/>
    </sheetView>
  </sheetViews>
  <sheetFormatPr baseColWidth="8" defaultColWidth="9" defaultRowHeight="13.5"/>
  <cols>
    <col width="14" customWidth="1" min="1" max="1"/>
    <col width="6.5" customWidth="1" min="2" max="31"/>
    <col width="2" customWidth="1" min="32" max="61"/>
    <col width="8" customWidth="1" min="62" max="62"/>
    <col width="16" customWidth="1" min="63" max="63"/>
  </cols>
  <sheetData>
    <row r="1" ht="26" customHeight="1">
      <c r="A1" s="1" t="inlineStr">
        <is>
          <t>要件 × 機能　カバレッジ行列</t>
        </is>
      </c>
    </row>
    <row r="2" ht="22" customHeight="1">
      <c r="A2" s="2" t="inlineStr">
        <is>
          <t>行=要件、列=機能。交叉格用下拉填「○」。蓝色=已建立对应。右侧合計为 0 的行会标红，说明该要件无人承接。</t>
        </is>
      </c>
    </row>
    <row r="3" ht="26" customHeight="1">
      <c r="A3" s="3" t="inlineStr">
        <is>
          <t>要件＼機能</t>
        </is>
      </c>
      <c r="B3" s="15">
        <f>IF('3.機能一覧'!A4="","",'3.機能一覧'!A4)</f>
        <v/>
      </c>
      <c r="C3" s="15">
        <f>IF('3.機能一覧'!A5="","",'3.機能一覧'!A5)</f>
        <v/>
      </c>
      <c r="D3" s="15">
        <f>IF('3.機能一覧'!A6="","",'3.機能一覧'!A6)</f>
        <v/>
      </c>
      <c r="E3" s="15">
        <f>IF('3.機能一覧'!A7="","",'3.機能一覧'!A7)</f>
        <v/>
      </c>
      <c r="F3" s="15">
        <f>IF('3.機能一覧'!A8="","",'3.機能一覧'!A8)</f>
        <v/>
      </c>
      <c r="G3" s="15">
        <f>IF('3.機能一覧'!A9="","",'3.機能一覧'!A9)</f>
        <v/>
      </c>
      <c r="H3" s="15">
        <f>IF('3.機能一覧'!A10="","",'3.機能一覧'!A10)</f>
        <v/>
      </c>
      <c r="I3" s="15">
        <f>IF('3.機能一覧'!A11="","",'3.機能一覧'!A11)</f>
        <v/>
      </c>
      <c r="J3" s="15">
        <f>IF('3.機能一覧'!A12="","",'3.機能一覧'!A12)</f>
        <v/>
      </c>
      <c r="K3" s="15">
        <f>IF('3.機能一覧'!A13="","",'3.機能一覧'!A13)</f>
        <v/>
      </c>
      <c r="L3" s="15">
        <f>IF('3.機能一覧'!A14="","",'3.機能一覧'!A14)</f>
        <v/>
      </c>
      <c r="M3" s="15">
        <f>IF('3.機能一覧'!A15="","",'3.機能一覧'!A15)</f>
        <v/>
      </c>
      <c r="N3" s="15">
        <f>IF('3.機能一覧'!A16="","",'3.機能一覧'!A16)</f>
        <v/>
      </c>
      <c r="O3" s="15">
        <f>IF('3.機能一覧'!A17="","",'3.機能一覧'!A17)</f>
        <v/>
      </c>
      <c r="P3" s="15">
        <f>IF('3.機能一覧'!A18="","",'3.機能一覧'!A18)</f>
        <v/>
      </c>
      <c r="Q3" s="15">
        <f>IF('3.機能一覧'!A19="","",'3.機能一覧'!A19)</f>
        <v/>
      </c>
      <c r="R3" s="15">
        <f>IF('3.機能一覧'!A20="","",'3.機能一覧'!A20)</f>
        <v/>
      </c>
      <c r="S3" s="15">
        <f>IF('3.機能一覧'!A21="","",'3.機能一覧'!A21)</f>
        <v/>
      </c>
      <c r="T3" s="15">
        <f>IF('3.機能一覧'!A22="","",'3.機能一覧'!A22)</f>
        <v/>
      </c>
      <c r="U3" s="15">
        <f>IF('3.機能一覧'!A23="","",'3.機能一覧'!A23)</f>
        <v/>
      </c>
      <c r="V3" s="15">
        <f>IF('3.機能一覧'!A24="","",'3.機能一覧'!A24)</f>
        <v/>
      </c>
      <c r="W3" s="15">
        <f>IF('3.機能一覧'!A25="","",'3.機能一覧'!A25)</f>
        <v/>
      </c>
      <c r="X3" s="15">
        <f>IF('3.機能一覧'!A26="","",'3.機能一覧'!A26)</f>
        <v/>
      </c>
      <c r="Y3" s="15">
        <f>IF('3.機能一覧'!A27="","",'3.機能一覧'!A27)</f>
        <v/>
      </c>
      <c r="Z3" s="15">
        <f>IF('3.機能一覧'!A28="","",'3.機能一覧'!A28)</f>
        <v/>
      </c>
      <c r="AA3" s="15">
        <f>IF('3.機能一覧'!A29="","",'3.機能一覧'!A29)</f>
        <v/>
      </c>
      <c r="AB3" s="15">
        <f>IF('3.機能一覧'!A30="","",'3.機能一覧'!A30)</f>
        <v/>
      </c>
      <c r="AC3" s="15">
        <f>IF('3.機能一覧'!A31="","",'3.機能一覧'!A31)</f>
        <v/>
      </c>
      <c r="AD3" s="15">
        <f>IF('3.機能一覧'!A32="","",'3.機能一覧'!A32)</f>
        <v/>
      </c>
      <c r="AE3" s="15">
        <f>IF('3.機能一覧'!A33="","",'3.機能一覧'!A33)</f>
        <v/>
      </c>
      <c r="AF3" s="15">
        <f>IF('3.機能一覧'!A34="","",'3.機能一覧'!A34)</f>
        <v/>
      </c>
      <c r="AG3" s="15">
        <f>IF('3.機能一覧'!A35="","",'3.機能一覧'!A35)</f>
        <v/>
      </c>
      <c r="AH3" s="15">
        <f>IF('3.機能一覧'!A36="","",'3.機能一覧'!A36)</f>
        <v/>
      </c>
      <c r="AI3" s="15">
        <f>IF('3.機能一覧'!A37="","",'3.機能一覧'!A37)</f>
        <v/>
      </c>
      <c r="AJ3" s="15">
        <f>IF('3.機能一覧'!A38="","",'3.機能一覧'!A38)</f>
        <v/>
      </c>
      <c r="AK3" s="15">
        <f>IF('3.機能一覧'!A39="","",'3.機能一覧'!A39)</f>
        <v/>
      </c>
      <c r="AL3" s="15">
        <f>IF('3.機能一覧'!A40="","",'3.機能一覧'!A40)</f>
        <v/>
      </c>
      <c r="AM3" s="15">
        <f>IF('3.機能一覧'!A41="","",'3.機能一覧'!A41)</f>
        <v/>
      </c>
      <c r="AN3" s="15">
        <f>IF('3.機能一覧'!A42="","",'3.機能一覧'!A42)</f>
        <v/>
      </c>
      <c r="AO3" s="15">
        <f>IF('3.機能一覧'!A43="","",'3.機能一覧'!A43)</f>
        <v/>
      </c>
      <c r="AP3" s="15">
        <f>IF('3.機能一覧'!A44="","",'3.機能一覧'!A44)</f>
        <v/>
      </c>
      <c r="AQ3" s="15">
        <f>IF('3.機能一覧'!A45="","",'3.機能一覧'!A45)</f>
        <v/>
      </c>
      <c r="AR3" s="15">
        <f>IF('3.機能一覧'!A46="","",'3.機能一覧'!A46)</f>
        <v/>
      </c>
      <c r="AS3" s="15">
        <f>IF('3.機能一覧'!A47="","",'3.機能一覧'!A47)</f>
        <v/>
      </c>
      <c r="AT3" s="15">
        <f>IF('3.機能一覧'!A48="","",'3.機能一覧'!A48)</f>
        <v/>
      </c>
      <c r="AU3" s="15">
        <f>IF('3.機能一覧'!A49="","",'3.機能一覧'!A49)</f>
        <v/>
      </c>
      <c r="AV3" s="15">
        <f>IF('3.機能一覧'!A50="","",'3.機能一覧'!A50)</f>
        <v/>
      </c>
      <c r="AW3" s="15">
        <f>IF('3.機能一覧'!A51="","",'3.機能一覧'!A51)</f>
        <v/>
      </c>
      <c r="AX3" s="15">
        <f>IF('3.機能一覧'!A52="","",'3.機能一覧'!A52)</f>
        <v/>
      </c>
      <c r="AY3" s="15">
        <f>IF('3.機能一覧'!A53="","",'3.機能一覧'!A53)</f>
        <v/>
      </c>
      <c r="AZ3" s="15">
        <f>IF('3.機能一覧'!A54="","",'3.機能一覧'!A54)</f>
        <v/>
      </c>
      <c r="BA3" s="15">
        <f>IF('3.機能一覧'!A55="","",'3.機能一覧'!A55)</f>
        <v/>
      </c>
      <c r="BB3" s="15">
        <f>IF('3.機能一覧'!A56="","",'3.機能一覧'!A56)</f>
        <v/>
      </c>
      <c r="BC3" s="15">
        <f>IF('3.機能一覧'!A57="","",'3.機能一覧'!A57)</f>
        <v/>
      </c>
      <c r="BD3" s="15">
        <f>IF('3.機能一覧'!A58="","",'3.機能一覧'!A58)</f>
        <v/>
      </c>
      <c r="BE3" s="15">
        <f>IF('3.機能一覧'!A59="","",'3.機能一覧'!A59)</f>
        <v/>
      </c>
      <c r="BF3" s="15">
        <f>IF('3.機能一覧'!A60="","",'3.機能一覧'!A60)</f>
        <v/>
      </c>
      <c r="BG3" s="15">
        <f>IF('3.機能一覧'!A61="","",'3.機能一覧'!A61)</f>
        <v/>
      </c>
      <c r="BH3" s="15">
        <f>IF('3.機能一覧'!A62="","",'3.機能一覧'!A62)</f>
        <v/>
      </c>
      <c r="BI3" s="15">
        <f>IF('3.機能一覧'!A63="","",'3.機能一覧'!A63)</f>
        <v/>
      </c>
      <c r="BJ3" s="9" t="inlineStr">
        <is>
          <t>合計</t>
        </is>
      </c>
      <c r="BK3" s="9" t="inlineStr">
        <is>
          <t>判定</t>
        </is>
      </c>
      <c r="BL3" s="9" t="inlineStr">
        <is>
          <t>工程</t>
        </is>
      </c>
    </row>
    <row r="4" ht="17" customHeight="1">
      <c r="A4" s="16">
        <f>IF('2.要件一覧'!A4="","",'2.要件一覧'!A4)</f>
        <v/>
      </c>
      <c r="B4" s="6" t="n"/>
      <c r="C4" s="5" t="inlineStr">
        <is>
          <t>○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17">
        <f>IF($A4="","",SUMPRODUCT(($B$3:$BI$3&lt;&gt;"")*($B4:BI4="○")))</f>
        <v/>
      </c>
      <c r="BK4" s="6">
        <f>IF($A4="","",IF($BJ4=0,"⚠ 未割当","OK"))</f>
        <v/>
      </c>
      <c r="BL4" s="6">
        <f>IF($A4="","",'2.要件一覧'!$L4)</f>
        <v/>
      </c>
    </row>
    <row r="5" ht="17" customHeight="1">
      <c r="A5" s="16">
        <f>IF('2.要件一覧'!A5="","",'2.要件一覧'!A5)</f>
        <v/>
      </c>
      <c r="B5" s="5" t="inlineStr">
        <is>
          <t>○</t>
        </is>
      </c>
      <c r="C5" s="5" t="n"/>
      <c r="D5" s="5" t="n"/>
      <c r="E5" s="6" t="n"/>
      <c r="F5" s="6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17">
        <f>IF($A5="","",SUMPRODUCT(($B$3:$BI$3&lt;&gt;"")*($B5:BI5="○")))</f>
        <v/>
      </c>
      <c r="BK5" s="6">
        <f>IF($A5="","",IF($BJ5=0,"⚠ 未割当","OK"))</f>
        <v/>
      </c>
      <c r="BL5" s="6">
        <f>IF($A5="","",'2.要件一覧'!$L5)</f>
        <v/>
      </c>
    </row>
    <row r="6" ht="17" customHeight="1">
      <c r="A6" s="16">
        <f>IF('2.要件一覧'!A6="","",'2.要件一覧'!A6)</f>
        <v/>
      </c>
      <c r="B6" s="5" t="n"/>
      <c r="C6" s="6" t="n"/>
      <c r="D6" s="6" t="inlineStr">
        <is>
          <t>○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17">
        <f>IF($A6="","",SUMPRODUCT(($B$3:$BI$3&lt;&gt;"")*($B6:BI6="○")))</f>
        <v/>
      </c>
      <c r="BK6" s="6">
        <f>IF($A6="","",IF($BJ6=0,"⚠ 未割当","OK"))</f>
        <v/>
      </c>
      <c r="BL6" s="6">
        <f>IF($A6="","",'2.要件一覧'!$L6)</f>
        <v/>
      </c>
    </row>
    <row r="7" ht="17" customHeight="1">
      <c r="A7" s="16">
        <f>IF('2.要件一覧'!A7="","",'2.要件一覧'!A7)</f>
        <v/>
      </c>
      <c r="B7" s="5" t="n"/>
      <c r="C7" s="5" t="n"/>
      <c r="D7" s="5" t="n"/>
      <c r="E7" s="5" t="inlineStr">
        <is>
          <t>○</t>
        </is>
      </c>
      <c r="F7" s="5" t="n"/>
      <c r="G7" s="5" t="n"/>
      <c r="H7" s="6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17">
        <f>IF($A7="","",SUMPRODUCT(($B$3:$BI$3&lt;&gt;"")*($B7:BI7="○")))</f>
        <v/>
      </c>
      <c r="BK7" s="6">
        <f>IF($A7="","",IF($BJ7=0,"⚠ 未割当","OK"))</f>
        <v/>
      </c>
      <c r="BL7" s="6">
        <f>IF($A7="","",'2.要件一覧'!$L7)</f>
        <v/>
      </c>
    </row>
    <row r="8" ht="17" customHeight="1">
      <c r="A8" s="16">
        <f>IF('2.要件一覧'!A8="","",'2.要件一覧'!A8)</f>
        <v/>
      </c>
      <c r="B8" s="5" t="n"/>
      <c r="C8" s="5" t="n"/>
      <c r="D8" s="5" t="n"/>
      <c r="E8" s="5" t="n"/>
      <c r="F8" s="5" t="inlineStr">
        <is>
          <t>○</t>
        </is>
      </c>
      <c r="G8" s="5" t="n"/>
      <c r="H8" s="5" t="n"/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17">
        <f>IF($A8="","",SUMPRODUCT(($B$3:$BI$3&lt;&gt;"")*($B8:BI8="○")))</f>
        <v/>
      </c>
      <c r="BK8" s="6">
        <f>IF($A8="","",IF($BJ8=0,"⚠ 未割当","OK"))</f>
        <v/>
      </c>
      <c r="BL8" s="6">
        <f>IF($A8="","",'2.要件一覧'!$L8)</f>
        <v/>
      </c>
    </row>
    <row r="9" ht="17" customHeight="1">
      <c r="A9" s="16">
        <f>IF('2.要件一覧'!A9="","",'2.要件一覧'!A9)</f>
        <v/>
      </c>
      <c r="B9" s="5" t="n"/>
      <c r="C9" s="5" t="n"/>
      <c r="D9" s="5" t="n"/>
      <c r="E9" s="5" t="n"/>
      <c r="F9" s="5" t="n"/>
      <c r="G9" s="6" t="inlineStr">
        <is>
          <t>○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17">
        <f>IF($A9="","",SUMPRODUCT(($B$3:$BI$3&lt;&gt;"")*($B9:BI9="○")))</f>
        <v/>
      </c>
      <c r="BK9" s="6">
        <f>IF($A9="","",IF($BJ9=0,"⚠ 未割当","OK"))</f>
        <v/>
      </c>
      <c r="BL9" s="6">
        <f>IF($A9="","",'2.要件一覧'!$L9)</f>
        <v/>
      </c>
    </row>
    <row r="10" ht="17" customHeight="1">
      <c r="A10" s="16">
        <f>IF('2.要件一覧'!A10="","",'2.要件一覧'!A10)</f>
        <v/>
      </c>
      <c r="B10" s="5" t="n"/>
      <c r="C10" s="5" t="n"/>
      <c r="D10" s="5" t="n"/>
      <c r="E10" s="5" t="n"/>
      <c r="F10" s="5" t="n"/>
      <c r="G10" s="5" t="n"/>
      <c r="H10" s="5" t="inlineStr">
        <is>
          <t>○</t>
        </is>
      </c>
      <c r="I10" s="5" t="n"/>
      <c r="J10" s="6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17">
        <f>IF($A10="","",SUMPRODUCT(($B$3:$BI$3&lt;&gt;"")*($B10:BI10="○")))</f>
        <v/>
      </c>
      <c r="BK10" s="6">
        <f>IF($A10="","",IF($BJ10=0,"⚠ 未割当","OK"))</f>
        <v/>
      </c>
      <c r="BL10" s="6">
        <f>IF($A10="","",'2.要件一覧'!$L10)</f>
        <v/>
      </c>
    </row>
    <row r="11" ht="17" customHeight="1">
      <c r="A11" s="16">
        <f>IF('2.要件一覧'!A11="","",'2.要件一覧'!A11)</f>
        <v/>
      </c>
      <c r="B11" s="5" t="n"/>
      <c r="C11" s="5" t="n"/>
      <c r="D11" s="5" t="n"/>
      <c r="E11" s="5" t="n"/>
      <c r="F11" s="5" t="n"/>
      <c r="G11" s="5" t="n"/>
      <c r="H11" s="5" t="n"/>
      <c r="I11" s="5" t="inlineStr">
        <is>
          <t>○</t>
        </is>
      </c>
      <c r="J11" s="5" t="n"/>
      <c r="K11" s="6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17">
        <f>IF($A11="","",SUMPRODUCT(($B$3:$BI$3&lt;&gt;"")*($B11:BI11="○")))</f>
        <v/>
      </c>
      <c r="BK11" s="6">
        <f>IF($A11="","",IF($BJ11=0,"⚠ 未割当","OK"))</f>
        <v/>
      </c>
      <c r="BL11" s="6">
        <f>IF($A11="","",'2.要件一覧'!$L11)</f>
        <v/>
      </c>
    </row>
    <row r="12" ht="17" customHeight="1">
      <c r="A12" s="16">
        <f>IF('2.要件一覧'!A12="","",'2.要件一覧'!A12)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inlineStr">
        <is>
          <t>○</t>
        </is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17">
        <f>IF($A12="","",SUMPRODUCT(($B$3:$BI$3&lt;&gt;"")*($B12:BI12="○")))</f>
        <v/>
      </c>
      <c r="BK12" s="6">
        <f>IF($A12="","",IF($BJ12=0,"⚠ 未割当","OK"))</f>
        <v/>
      </c>
      <c r="BL12" s="6">
        <f>IF($A12="","",'2.要件一覧'!$L12)</f>
        <v/>
      </c>
    </row>
    <row r="13" ht="17" customHeight="1">
      <c r="A13" s="16">
        <f>IF('2.要件一覧'!A13="","",'2.要件一覧'!A13)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inlineStr">
        <is>
          <t>○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17">
        <f>IF($A13="","",SUMPRODUCT(($B$3:$BI$3&lt;&gt;"")*($B13:BI13="○")))</f>
        <v/>
      </c>
      <c r="BK13" s="6">
        <f>IF($A13="","",IF($BJ13=0,"⚠ 未割当","OK"))</f>
        <v/>
      </c>
      <c r="BL13" s="6">
        <f>IF($A13="","",'2.要件一覧'!$L13)</f>
        <v/>
      </c>
    </row>
    <row r="14" ht="17" customHeight="1">
      <c r="A14" s="16">
        <f>IF('2.要件一覧'!A14="","",'2.要件一覧'!A14)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inlineStr">
        <is>
          <t>○</t>
        </is>
      </c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17">
        <f>IF($A14="","",SUMPRODUCT(($B$3:$BI$3&lt;&gt;"")*($B14:BI14="○")))</f>
        <v/>
      </c>
      <c r="BK14" s="6">
        <f>IF($A14="","",IF($BJ14=0,"⚠ 未割当","OK"))</f>
        <v/>
      </c>
      <c r="BL14" s="6">
        <f>IF($A14="","",'2.要件一覧'!$L14)</f>
        <v/>
      </c>
    </row>
    <row r="15" ht="17" customHeight="1">
      <c r="A15" s="16">
        <f>IF('2.要件一覧'!A15="","",'2.要件一覧'!A15)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inlineStr">
        <is>
          <t>○</t>
        </is>
      </c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17">
        <f>IF($A15="","",SUMPRODUCT(($B$3:$BI$3&lt;&gt;"")*($B15:BI15="○")))</f>
        <v/>
      </c>
      <c r="BK15" s="6">
        <f>IF($A15="","",IF($BJ15=0,"⚠ 未割当","OK"))</f>
        <v/>
      </c>
      <c r="BL15" s="6">
        <f>IF($A15="","",'2.要件一覧'!$L15)</f>
        <v/>
      </c>
    </row>
    <row r="16" ht="17" customHeight="1">
      <c r="A16" s="16">
        <f>IF('2.要件一覧'!A16="","",'2.要件一覧'!A16)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inlineStr">
        <is>
          <t>○</t>
        </is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17">
        <f>IF($A16="","",SUMPRODUCT(($B$3:$BI$3&lt;&gt;"")*($B16:BI16="○")))</f>
        <v/>
      </c>
      <c r="BK16" s="6">
        <f>IF($A16="","",IF($BJ16=0,"⚠ 未割当","OK"))</f>
        <v/>
      </c>
      <c r="BL16" s="6">
        <f>IF($A16="","",'2.要件一覧'!$L16)</f>
        <v/>
      </c>
    </row>
    <row r="17" ht="17" customHeight="1">
      <c r="A17" s="16">
        <f>IF('2.要件一覧'!A17="","",'2.要件一覧'!A17)</f>
        <v/>
      </c>
      <c r="B17" s="5" t="inlineStr">
        <is>
          <t>○</t>
        </is>
      </c>
      <c r="C17" s="5" t="inlineStr">
        <is>
          <t>○</t>
        </is>
      </c>
      <c r="D17" s="5" t="inlineStr">
        <is>
          <t>○</t>
        </is>
      </c>
      <c r="E17" s="5" t="inlineStr">
        <is>
          <t>○</t>
        </is>
      </c>
      <c r="F17" s="5" t="inlineStr">
        <is>
          <t>○</t>
        </is>
      </c>
      <c r="G17" s="5" t="inlineStr">
        <is>
          <t>○</t>
        </is>
      </c>
      <c r="H17" s="5" t="inlineStr">
        <is>
          <t>○</t>
        </is>
      </c>
      <c r="I17" s="5" t="inlineStr">
        <is>
          <t>○</t>
        </is>
      </c>
      <c r="J17" s="5" t="inlineStr">
        <is>
          <t>○</t>
        </is>
      </c>
      <c r="K17" s="5" t="inlineStr">
        <is>
          <t>○</t>
        </is>
      </c>
      <c r="L17" s="5" t="inlineStr">
        <is>
          <t>○</t>
        </is>
      </c>
      <c r="M17" s="5" t="inlineStr">
        <is>
          <t>○</t>
        </is>
      </c>
      <c r="N17" s="5" t="inlineStr">
        <is>
          <t>○</t>
        </is>
      </c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17">
        <f>IF($A17="","",SUMPRODUCT(($B$3:$BI$3&lt;&gt;"")*($B17:BI17="○")))</f>
        <v/>
      </c>
      <c r="BK17" s="6">
        <f>IF($A17="","",IF($BJ17=0,"⚠ 未割当","OK"))</f>
        <v/>
      </c>
      <c r="BL17" s="6">
        <f>IF($A17="","",'2.要件一覧'!$L17)</f>
        <v/>
      </c>
    </row>
    <row r="18" ht="17" customHeight="1">
      <c r="A18" s="16">
        <f>IF('2.要件一覧'!A18="","",'2.要件一覧'!A18)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inlineStr">
        <is>
          <t>○</t>
        </is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17">
        <f>IF($A18="","",SUMPRODUCT(($B$3:$BI$3&lt;&gt;"")*($B18:BI18="○")))</f>
        <v/>
      </c>
      <c r="BK18" s="6">
        <f>IF($A18="","",IF($BJ18=0,"⚠ 未割当","OK"))</f>
        <v/>
      </c>
      <c r="BL18" s="6">
        <f>IF($A18="","",'2.要件一覧'!$L18)</f>
        <v/>
      </c>
    </row>
    <row r="19" ht="17" customHeight="1">
      <c r="A19" s="16">
        <f>IF('2.要件一覧'!A19="","",'2.要件一覧'!A19)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inlineStr">
        <is>
          <t>○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17">
        <f>IF($A19="","",SUMPRODUCT(($B$3:$BI$3&lt;&gt;"")*($B19:BI19="○")))</f>
        <v/>
      </c>
      <c r="BK19" s="6">
        <f>IF($A19="","",IF($BJ19=0,"⚠ 未割当","OK"))</f>
        <v/>
      </c>
      <c r="BL19" s="6">
        <f>IF($A19="","",'2.要件一覧'!$L19)</f>
        <v/>
      </c>
    </row>
    <row r="20" ht="17" customHeight="1">
      <c r="A20" s="16">
        <f>IF('2.要件一覧'!A20="","",'2.要件一覧'!A20)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inlineStr">
        <is>
          <t>○</t>
        </is>
      </c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17">
        <f>IF($A20="","",SUMPRODUCT(($B$3:$BI$3&lt;&gt;"")*($B20:BI20="○")))</f>
        <v/>
      </c>
      <c r="BK20" s="6">
        <f>IF($A20="","",IF($BJ20=0,"⚠ 未割当","OK"))</f>
        <v/>
      </c>
      <c r="BL20" s="6">
        <f>IF($A20="","",'2.要件一覧'!$L20)</f>
        <v/>
      </c>
    </row>
    <row r="21" ht="17" customHeight="1">
      <c r="A21" s="16">
        <f>IF('2.要件一覧'!A21="","",'2.要件一覧'!A21)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inlineStr">
        <is>
          <t>○</t>
        </is>
      </c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17">
        <f>IF($A21="","",SUMPRODUCT(($B$3:$BI$3&lt;&gt;"")*($B21:BI21="○")))</f>
        <v/>
      </c>
      <c r="BK21" s="6">
        <f>IF($A21="","",IF($BJ21=0,"⚠ 未割当","OK"))</f>
        <v/>
      </c>
      <c r="BL21" s="6">
        <f>IF($A21="","",'2.要件一覧'!$L21)</f>
        <v/>
      </c>
    </row>
    <row r="22" ht="17" customHeight="1">
      <c r="A22" s="16">
        <f>IF('2.要件一覧'!A22="","",'2.要件一覧'!A22)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inlineStr">
        <is>
          <t>○</t>
        </is>
      </c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17">
        <f>IF($A22="","",SUMPRODUCT(($B$3:$BI$3&lt;&gt;"")*($B22:BI22="○")))</f>
        <v/>
      </c>
      <c r="BK22" s="6">
        <f>IF($A22="","",IF($BJ22=0,"⚠ 未割当","OK"))</f>
        <v/>
      </c>
      <c r="BL22" s="6">
        <f>IF($A22="","",'2.要件一覧'!$L22)</f>
        <v/>
      </c>
    </row>
    <row r="23" ht="17" customHeight="1">
      <c r="A23" s="16">
        <f>IF('2.要件一覧'!A23="","",'2.要件一覧'!A23)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inlineStr">
        <is>
          <t>○</t>
        </is>
      </c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17">
        <f>IF($A23="","",SUMPRODUCT(($B$3:$BI$3&lt;&gt;"")*($B23:BI23="○")))</f>
        <v/>
      </c>
      <c r="BK23" s="6">
        <f>IF($A23="","",IF($BJ23=0,"⚠ 未割当","OK"))</f>
        <v/>
      </c>
      <c r="BL23" s="6">
        <f>IF($A23="","",'2.要件一覧'!$L23)</f>
        <v/>
      </c>
    </row>
    <row r="24" ht="17" customHeight="1">
      <c r="A24" s="16">
        <f>IF('2.要件一覧'!A24="","",'2.要件一覧'!A24)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inlineStr">
        <is>
          <t>○</t>
        </is>
      </c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17">
        <f>IF($A24="","",SUMPRODUCT(($B$3:$BI$3&lt;&gt;"")*($B24:BI24="○")))</f>
        <v/>
      </c>
      <c r="BK24" s="6">
        <f>IF($A24="","",IF($BJ24=0,"⚠ 未割当","OK"))</f>
        <v/>
      </c>
      <c r="BL24" s="6">
        <f>IF($A24="","",'2.要件一覧'!$L24)</f>
        <v/>
      </c>
    </row>
    <row r="25" ht="17" customHeight="1">
      <c r="A25" s="16">
        <f>IF('2.要件一覧'!A25="","",'2.要件一覧'!A25)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inlineStr">
        <is>
          <t>○</t>
        </is>
      </c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17">
        <f>IF($A25="","",SUMPRODUCT(($B$3:$BI$3&lt;&gt;"")*($B25:BI25="○")))</f>
        <v/>
      </c>
      <c r="BK25" s="6">
        <f>IF($A25="","",IF($BJ25=0,"⚠ 未割当","OK"))</f>
        <v/>
      </c>
      <c r="BL25" s="6">
        <f>IF($A25="","",'2.要件一覧'!$L25)</f>
        <v/>
      </c>
    </row>
    <row r="26" ht="17" customHeight="1">
      <c r="A26" s="16">
        <f>IF('2.要件一覧'!A26="","",'2.要件一覧'!A26)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inlineStr">
        <is>
          <t>○</t>
        </is>
      </c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17">
        <f>IF($A26="","",SUMPRODUCT(($B$3:$BI$3&lt;&gt;"")*($B26:BI26="○")))</f>
        <v/>
      </c>
      <c r="BK26" s="6">
        <f>IF($A26="","",IF($BJ26=0,"⚠ 未割当","OK"))</f>
        <v/>
      </c>
      <c r="BL26" s="6">
        <f>IF($A26="","",'2.要件一覧'!$L26)</f>
        <v/>
      </c>
    </row>
    <row r="27" ht="17" customHeight="1">
      <c r="A27" s="16">
        <f>IF('2.要件一覧'!A27="","",'2.要件一覧'!A27)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inlineStr">
        <is>
          <t>○</t>
        </is>
      </c>
      <c r="R27" s="5" t="n"/>
      <c r="S27" s="5" t="n"/>
      <c r="T27" s="5" t="n"/>
      <c r="U27" s="5" t="n"/>
      <c r="V27" s="5" t="inlineStr">
        <is>
          <t>○</t>
        </is>
      </c>
      <c r="W27" s="5" t="inlineStr">
        <is>
          <t>○</t>
        </is>
      </c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17">
        <f>IF($A27="","",SUMPRODUCT(($B$3:$BI$3&lt;&gt;"")*($B27:BI27="○")))</f>
        <v/>
      </c>
      <c r="BK27" s="6">
        <f>IF($A27="","",IF($BJ27=0,"⚠ 未割当","OK"))</f>
        <v/>
      </c>
      <c r="BL27" s="6">
        <f>IF($A27="","",'2.要件一覧'!$L27)</f>
        <v/>
      </c>
    </row>
    <row r="28" ht="17" customHeight="1">
      <c r="A28" s="16">
        <f>IF('2.要件一覧'!A28="","",'2.要件一覧'!A28)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inlineStr">
        <is>
          <t>○</t>
        </is>
      </c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17">
        <f>IF($A28="","",SUMPRODUCT(($B$3:$BI$3&lt;&gt;"")*($B28:BI28="○")))</f>
        <v/>
      </c>
      <c r="BK28" s="6">
        <f>IF($A28="","",IF($BJ28=0,"⚠ 未割当","OK"))</f>
        <v/>
      </c>
      <c r="BL28" s="6">
        <f>IF($A28="","",'2.要件一覧'!$L28)</f>
        <v/>
      </c>
    </row>
    <row r="29" ht="17" customHeight="1">
      <c r="A29" s="16">
        <f>IF('2.要件一覧'!A29="","",'2.要件一覧'!A29)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inlineStr">
        <is>
          <t>○</t>
        </is>
      </c>
      <c r="S29" s="5" t="n"/>
      <c r="T29" s="5" t="n"/>
      <c r="U29" s="5" t="n"/>
      <c r="V29" s="5" t="inlineStr">
        <is>
          <t>○</t>
        </is>
      </c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17">
        <f>IF($A29="","",SUMPRODUCT(($B$3:$BI$3&lt;&gt;"")*($B29:BI29="○")))</f>
        <v/>
      </c>
      <c r="BK29" s="6">
        <f>IF($A29="","",IF($BJ29=0,"⚠ 未割当","OK"))</f>
        <v/>
      </c>
      <c r="BL29" s="6">
        <f>IF($A29="","",'2.要件一覧'!$L29)</f>
        <v/>
      </c>
    </row>
    <row r="30" ht="17" customHeight="1">
      <c r="A30" s="16">
        <f>IF('2.要件一覧'!A30="","",'2.要件一覧'!A30)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inlineStr">
        <is>
          <t>○</t>
        </is>
      </c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17">
        <f>IF($A30="","",SUMPRODUCT(($B$3:$BI$3&lt;&gt;"")*($B30:BI30="○")))</f>
        <v/>
      </c>
      <c r="BK30" s="6">
        <f>IF($A30="","",IF($BJ30=0,"⚠ 未割当","OK"))</f>
        <v/>
      </c>
      <c r="BL30" s="6">
        <f>IF($A30="","",'2.要件一覧'!$L30)</f>
        <v/>
      </c>
    </row>
    <row r="31" ht="17" customHeight="1">
      <c r="A31" s="16">
        <f>IF('2.要件一覧'!A31="","",'2.要件一覧'!A31)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inlineStr">
        <is>
          <t>○</t>
        </is>
      </c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17">
        <f>IF($A31="","",SUMPRODUCT(($B$3:$BI$3&lt;&gt;"")*($B31:BI31="○")))</f>
        <v/>
      </c>
      <c r="BK31" s="6">
        <f>IF($A31="","",IF($BJ31=0,"⚠ 未割当","OK"))</f>
        <v/>
      </c>
      <c r="BL31" s="6">
        <f>IF($A31="","",'2.要件一覧'!$L31)</f>
        <v/>
      </c>
    </row>
    <row r="32" ht="17" customHeight="1">
      <c r="A32" s="16">
        <f>IF('2.要件一覧'!A32="","",'2.要件一覧'!A32)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inlineStr">
        <is>
          <t>○</t>
        </is>
      </c>
      <c r="R32" s="5" t="n"/>
      <c r="S32" s="5" t="n"/>
      <c r="T32" s="5" t="n"/>
      <c r="U32" s="5" t="n"/>
      <c r="V32" s="5" t="inlineStr">
        <is>
          <t>○</t>
        </is>
      </c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17">
        <f>IF($A32="","",SUMPRODUCT(($B$3:$BI$3&lt;&gt;"")*($B32:BI32="○")))</f>
        <v/>
      </c>
      <c r="BK32" s="6">
        <f>IF($A32="","",IF($BJ32=0,"⚠ 未割当","OK"))</f>
        <v/>
      </c>
      <c r="BL32" s="6">
        <f>IF($A32="","",'2.要件一覧'!$L32)</f>
        <v/>
      </c>
    </row>
    <row r="33" ht="17" customHeight="1">
      <c r="A33" s="16">
        <f>IF('2.要件一覧'!A33="","",'2.要件一覧'!A33)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inlineStr">
        <is>
          <t>○</t>
        </is>
      </c>
      <c r="U33" s="5" t="inlineStr">
        <is>
          <t>○</t>
        </is>
      </c>
      <c r="V33" s="5" t="n"/>
      <c r="W33" s="5" t="n"/>
      <c r="X33" s="5" t="n"/>
      <c r="Y33" s="5" t="n"/>
      <c r="Z33" s="5" t="inlineStr">
        <is>
          <t>○</t>
        </is>
      </c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17">
        <f>IF($A33="","",SUMPRODUCT(($B$3:$BI$3&lt;&gt;"")*($B33:BI33="○")))</f>
        <v/>
      </c>
      <c r="BK33" s="6">
        <f>IF($A33="","",IF($BJ33=0,"⚠ 未割当","OK"))</f>
        <v/>
      </c>
      <c r="BL33" s="6">
        <f>IF($A33="","",'2.要件一覧'!$L33)</f>
        <v/>
      </c>
    </row>
    <row r="34" ht="17" customHeight="1">
      <c r="A34" s="16">
        <f>IF('2.要件一覧'!A34="","",'2.要件一覧'!A34)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inlineStr">
        <is>
          <t>○</t>
        </is>
      </c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17">
        <f>IF($A34="","",SUMPRODUCT(($B$3:$BI$3&lt;&gt;"")*($B34:BI34="○")))</f>
        <v/>
      </c>
      <c r="BK34" s="6">
        <f>IF($A34="","",IF($BJ34=0,"⚠ 未割当","OK"))</f>
        <v/>
      </c>
      <c r="BL34" s="6">
        <f>IF($A34="","",'2.要件一覧'!$L34)</f>
        <v/>
      </c>
    </row>
    <row r="35" ht="17" customHeight="1">
      <c r="A35" s="16">
        <f>IF('2.要件一覧'!A35="","",'2.要件一覧'!A35)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17">
        <f>IF($A35="","",SUMPRODUCT(($B$3:$BI$3&lt;&gt;"")*($B35:BI35="○")))</f>
        <v/>
      </c>
      <c r="BK35" s="6">
        <f>IF($A35="","",IF($BJ35=0,"⚠ 未割当","OK"))</f>
        <v/>
      </c>
      <c r="BL35" s="6">
        <f>IF($A35="","",'2.要件一覧'!$L35)</f>
        <v/>
      </c>
    </row>
    <row r="36" ht="17" customHeight="1">
      <c r="A36" s="16">
        <f>IF('2.要件一覧'!A36="","",'2.要件一覧'!A36)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inlineStr">
        <is>
          <t>○</t>
        </is>
      </c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inlineStr">
        <is>
          <t>○</t>
        </is>
      </c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17">
        <f>IF($A36="","",SUMPRODUCT(($B$3:$BI$3&lt;&gt;"")*($B36:BI36="○")))</f>
        <v/>
      </c>
      <c r="BK36" s="6">
        <f>IF($A36="","",IF($BJ36=0,"⚠ 未割当","OK"))</f>
        <v/>
      </c>
      <c r="BL36" s="6">
        <f>IF($A36="","",'2.要件一覧'!$L36)</f>
        <v/>
      </c>
    </row>
    <row r="37" ht="17" customHeight="1">
      <c r="A37" s="16">
        <f>IF('2.要件一覧'!A37="","",'2.要件一覧'!A37)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inlineStr">
        <is>
          <t>○</t>
        </is>
      </c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17">
        <f>IF($A37="","",SUMPRODUCT(($B$3:$BI$3&lt;&gt;"")*($B37:BI37="○")))</f>
        <v/>
      </c>
      <c r="BK37" s="6">
        <f>IF($A37="","",IF($BJ37=0,"⚠ 未割当","OK"))</f>
        <v/>
      </c>
      <c r="BL37" s="6">
        <f>IF($A37="","",'2.要件一覧'!$L37)</f>
        <v/>
      </c>
    </row>
    <row r="38" ht="17" customHeight="1">
      <c r="A38" s="16">
        <f>IF('2.要件一覧'!A38="","",'2.要件一覧'!A38)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17">
        <f>IF($A38="","",SUMPRODUCT(($B$3:$BI$3&lt;&gt;"")*($B38:BI38="○")))</f>
        <v/>
      </c>
      <c r="BK38" s="6">
        <f>IF($A38="","",IF($BJ38=0,"⚠ 未割当","OK"))</f>
        <v/>
      </c>
      <c r="BL38" s="6">
        <f>IF($A38="","",'2.要件一覧'!$L38)</f>
        <v/>
      </c>
    </row>
    <row r="39" ht="17" customHeight="1">
      <c r="A39" s="16">
        <f>IF('2.要件一覧'!A39="","",'2.要件一覧'!A39)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17">
        <f>IF($A39="","",SUMPRODUCT(($B$3:$BI$3&lt;&gt;"")*($B39:BI39="○")))</f>
        <v/>
      </c>
      <c r="BK39" s="6">
        <f>IF($A39="","",IF($BJ39=0,"⚠ 未割当","OK"))</f>
        <v/>
      </c>
      <c r="BL39" s="6">
        <f>IF($A39="","",'2.要件一覧'!$L39)</f>
        <v/>
      </c>
    </row>
    <row r="40" ht="17" customHeight="1">
      <c r="A40" s="16">
        <f>IF('2.要件一覧'!A40="","",'2.要件一覧'!A40)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inlineStr">
        <is>
          <t>○</t>
        </is>
      </c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17">
        <f>IF($A40="","",SUMPRODUCT(($B$3:$BI$3&lt;&gt;"")*($B40:BI40="○")))</f>
        <v/>
      </c>
      <c r="BK40" s="6">
        <f>IF($A40="","",IF($BJ40=0,"⚠ 未割当","OK"))</f>
        <v/>
      </c>
      <c r="BL40" s="6">
        <f>IF($A40="","",'2.要件一覧'!$L40)</f>
        <v/>
      </c>
    </row>
    <row r="41" ht="17" customHeight="1">
      <c r="A41" s="16">
        <f>IF('2.要件一覧'!A41="","",'2.要件一覧'!A41)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inlineStr">
        <is>
          <t>○</t>
        </is>
      </c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17">
        <f>IF($A41="","",SUMPRODUCT(($B$3:$BI$3&lt;&gt;"")*($B41:BI41="○")))</f>
        <v/>
      </c>
      <c r="BK41" s="6">
        <f>IF($A41="","",IF($BJ41=0,"⚠ 未割当","OK"))</f>
        <v/>
      </c>
      <c r="BL41" s="6">
        <f>IF($A41="","",'2.要件一覧'!$L41)</f>
        <v/>
      </c>
    </row>
    <row r="42" ht="17" customHeight="1">
      <c r="A42" s="16">
        <f>IF('2.要件一覧'!A42="","",'2.要件一覧'!A42)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17">
        <f>IF($A42="","",SUMPRODUCT(($B$3:$BI$3&lt;&gt;"")*($B42:BI42="○")))</f>
        <v/>
      </c>
      <c r="BK42" s="6">
        <f>IF($A42="","",IF($BJ42=0,"設計文書承接（BD-10）","OK"))</f>
        <v/>
      </c>
      <c r="BL42" s="6">
        <f>IF($A42="","",'2.要件一覧'!$L42)</f>
        <v/>
      </c>
    </row>
    <row r="43" ht="17" customHeight="1">
      <c r="A43" s="16">
        <f>IF('2.要件一覧'!A43="","",'2.要件一覧'!A43)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17">
        <f>IF($A43="","",SUMPRODUCT(($B$3:$BI$3&lt;&gt;"")*($B43:BI43="○")))</f>
        <v/>
      </c>
      <c r="BK43" s="6">
        <f>IF($A43="","",IF($BJ43=0,"設計文書承接（BD-10）","OK"))</f>
        <v/>
      </c>
      <c r="BL43" s="6">
        <f>IF($A43="","",'2.要件一覧'!$L43)</f>
        <v/>
      </c>
    </row>
    <row r="44" ht="17" customHeight="1">
      <c r="A44" s="16">
        <f>IF('2.要件一覧'!A44="","",'2.要件一覧'!A44)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inlineStr">
        <is>
          <t>○</t>
        </is>
      </c>
      <c r="V44" s="5" t="inlineStr">
        <is>
          <t>○</t>
        </is>
      </c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17">
        <f>IF($A44="","",SUMPRODUCT(($B$3:$BI$3&lt;&gt;"")*($B44:BI44="○")))</f>
        <v/>
      </c>
      <c r="BK44" s="6">
        <f>IF($A44="","",IF($BJ44=0,"設計文書承接（BD-10）","OK"))</f>
        <v/>
      </c>
      <c r="BL44" s="6">
        <f>IF($A44="","",'2.要件一覧'!$L44)</f>
        <v/>
      </c>
    </row>
    <row r="45" ht="17" customHeight="1">
      <c r="A45" s="16">
        <f>IF('2.要件一覧'!A45="","",'2.要件一覧'!A45)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17">
        <f>IF($A45="","",SUMPRODUCT(($B$3:$BI$3&lt;&gt;"")*($B45:BI45="○")))</f>
        <v/>
      </c>
      <c r="BK45" s="6">
        <f>IF($A45="","",IF($BJ45=0,"設計文書承接（BD-10）","OK"))</f>
        <v/>
      </c>
      <c r="BL45" s="6">
        <f>IF($A45="","",'2.要件一覧'!$L45)</f>
        <v/>
      </c>
    </row>
    <row r="46" ht="17" customHeight="1">
      <c r="A46" s="16">
        <f>IF('2.要件一覧'!A46="","",'2.要件一覧'!A46)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17">
        <f>IF($A46="","",SUMPRODUCT(($B$3:$BI$3&lt;&gt;"")*($B46:BI46="○")))</f>
        <v/>
      </c>
      <c r="BK46" s="6">
        <f>IF($A46="","",IF($BJ46=0,"設計文書承接（BD-10）","OK"))</f>
        <v/>
      </c>
      <c r="BL46" s="6">
        <f>IF($A46="","",'2.要件一覧'!$L46)</f>
        <v/>
      </c>
    </row>
    <row r="47" ht="17" customHeight="1">
      <c r="A47" s="16">
        <f>IF('2.要件一覧'!A47="","",'2.要件一覧'!A47)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17">
        <f>IF($A47="","",SUMPRODUCT(($B$3:$BI$3&lt;&gt;"")*($B47:BI47="○")))</f>
        <v/>
      </c>
      <c r="BK47" s="6">
        <f>IF($A47="","",IF($BJ47=0,"設計文書承接（BD-10）","OK"))</f>
        <v/>
      </c>
      <c r="BL47" s="6">
        <f>IF($A47="","",'2.要件一覧'!$L47)</f>
        <v/>
      </c>
    </row>
    <row r="48" ht="17" customHeight="1">
      <c r="A48" s="16">
        <f>IF('2.要件一覧'!A48="","",'2.要件一覧'!A48)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17">
        <f>IF($A48="","",SUMPRODUCT(($B$3:$BI$3&lt;&gt;"")*($B48:BI48="○")))</f>
        <v/>
      </c>
      <c r="BK48" s="6">
        <f>IF($A48="","",IF($BJ48=0,"設計文書承接（BD-10）","OK"))</f>
        <v/>
      </c>
      <c r="BL48" s="6">
        <f>IF($A48="","",'2.要件一覧'!$L48)</f>
        <v/>
      </c>
    </row>
    <row r="49" ht="17" customHeight="1">
      <c r="A49" s="16">
        <f>IF('2.要件一覧'!A49="","",'2.要件一覧'!A49)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17">
        <f>IF($A49="","",SUMPRODUCT(($B$3:$BI$3&lt;&gt;"")*($B49:BI49="○")))</f>
        <v/>
      </c>
      <c r="BK49" s="6">
        <f>IF($A49="","",IF($BJ49=0,"設計文書承接（BD-10）","OK"))</f>
        <v/>
      </c>
      <c r="BL49" s="6">
        <f>IF($A49="","",'2.要件一覧'!$L49)</f>
        <v/>
      </c>
    </row>
    <row r="50" ht="17" customHeight="1">
      <c r="A50" s="16">
        <f>IF('2.要件一覧'!A50="","",'2.要件一覧'!A50)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inlineStr">
        <is>
          <t>○</t>
        </is>
      </c>
      <c r="R50" s="5" t="inlineStr">
        <is>
          <t>○</t>
        </is>
      </c>
      <c r="S50" s="5" t="inlineStr">
        <is>
          <t>○</t>
        </is>
      </c>
      <c r="T50" s="5" t="inlineStr">
        <is>
          <t>○</t>
        </is>
      </c>
      <c r="U50" s="5" t="inlineStr">
        <is>
          <t>○</t>
        </is>
      </c>
      <c r="V50" s="5" t="inlineStr">
        <is>
          <t>○</t>
        </is>
      </c>
      <c r="W50" s="5" t="inlineStr">
        <is>
          <t>○</t>
        </is>
      </c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17">
        <f>IF($A50="","",SUMPRODUCT(($B$3:$BI$3&lt;&gt;"")*($B50:BI50="○")))</f>
        <v/>
      </c>
      <c r="BK50" s="6">
        <f>IF($A50="","",IF($BJ50=0,"設計文書承接（BD-10）","OK"))</f>
        <v/>
      </c>
      <c r="BL50" s="6">
        <f>IF($A50="","",'2.要件一覧'!$L50)</f>
        <v/>
      </c>
    </row>
    <row r="51" ht="17" customHeight="1">
      <c r="A51" s="16">
        <f>IF('2.要件一覧'!A51="","",'2.要件一覧'!A51)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17">
        <f>IF($A51="","",SUMPRODUCT(($B$3:$BI$3&lt;&gt;"")*($B51:BI51="○")))</f>
        <v/>
      </c>
      <c r="BK51" s="6">
        <f>IF($A51="","",IF($BJ51=0,"設計文書承接（BD-10）","OK"))</f>
        <v/>
      </c>
      <c r="BL51" s="6">
        <f>IF($A51="","",'2.要件一覧'!$L51)</f>
        <v/>
      </c>
    </row>
    <row r="52" ht="17" customHeight="1">
      <c r="A52" s="16">
        <f>IF('2.要件一覧'!A52="","",'2.要件一覧'!A52)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17">
        <f>IF($A52="","",SUMPRODUCT(($B$3:$BI$3&lt;&gt;"")*($B52:BI52="○")))</f>
        <v/>
      </c>
      <c r="BK52" s="6">
        <f>IF($A52="","",IF($BJ52=0,"設計文書承接（BD-10）","OK"))</f>
        <v/>
      </c>
      <c r="BL52" s="6">
        <f>IF($A52="","",'2.要件一覧'!$L52)</f>
        <v/>
      </c>
    </row>
    <row r="53" ht="17" customHeight="1">
      <c r="A53" s="16">
        <f>IF('2.要件一覧'!A53="","",'2.要件一覧'!A53)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17">
        <f>IF($A53="","",SUMPRODUCT(($B$3:$BI$3&lt;&gt;"")*($B53:BI53="○")))</f>
        <v/>
      </c>
      <c r="BK53" s="6">
        <f>IF($A53="","",IF($BJ53=0,"設計文書承接（BD-10）","OK"))</f>
        <v/>
      </c>
      <c r="BL53" s="6">
        <f>IF($A53="","",'2.要件一覧'!$L53)</f>
        <v/>
      </c>
    </row>
    <row r="54" ht="16.5" customHeight="1">
      <c r="A54" s="16">
        <f>IF('2.要件一覧'!A54="","",'2.要件一覧'!A54)</f>
        <v/>
      </c>
      <c r="B54" s="17">
        <f>IF(B$3="","",SUMPRODUCT(($A$4:$A$53&lt;&gt;"")*(B$4:B$53="○")))</f>
        <v/>
      </c>
      <c r="C54" s="17">
        <f>IF(C$3="","",SUMPRODUCT(($A$4:$A$53&lt;&gt;"")*(C$4:C$53="○")))</f>
        <v/>
      </c>
      <c r="D54" s="17">
        <f>IF(D$3="","",SUMPRODUCT(($A$4:$A$53&lt;&gt;"")*(D$4:D$53="○")))</f>
        <v/>
      </c>
      <c r="E54" s="17">
        <f>IF(E$3="","",SUMPRODUCT(($A$4:$A$53&lt;&gt;"")*(E$4:E$53="○")))</f>
        <v/>
      </c>
      <c r="F54" s="17">
        <f>IF(F$3="","",SUMPRODUCT(($A$4:$A$53&lt;&gt;"")*(F$4:F$53="○")))</f>
        <v/>
      </c>
      <c r="G54" s="17">
        <f>IF(G$3="","",SUMPRODUCT(($A$4:$A$53&lt;&gt;"")*(G$4:G$53="○")))</f>
        <v/>
      </c>
      <c r="H54" s="17">
        <f>IF(H$3="","",SUMPRODUCT(($A$4:$A$53&lt;&gt;"")*(H$4:H$53="○")))</f>
        <v/>
      </c>
      <c r="I54" s="17">
        <f>IF(I$3="","",SUMPRODUCT(($A$4:$A$53&lt;&gt;"")*(I$4:I$53="○")))</f>
        <v/>
      </c>
      <c r="J54" s="17">
        <f>IF(J$3="","",SUMPRODUCT(($A$4:$A$53&lt;&gt;"")*(J$4:J$53="○")))</f>
        <v/>
      </c>
      <c r="K54" s="17">
        <f>IF(K$3="","",SUMPRODUCT(($A$4:$A$53&lt;&gt;"")*(K$4:K$53="○")))</f>
        <v/>
      </c>
      <c r="L54" s="17">
        <f>IF(L$3="","",SUMPRODUCT(($A$4:$A$53&lt;&gt;"")*(L$4:L$53="○")))</f>
        <v/>
      </c>
      <c r="M54" s="17">
        <f>IF(M$3="","",SUMPRODUCT(($A$4:$A$53&lt;&gt;"")*(M$4:M$53="○")))</f>
        <v/>
      </c>
      <c r="N54" s="17">
        <f>IF(N$3="","",SUMPRODUCT(($A$4:$A$53&lt;&gt;"")*(N$4:N$53="○")))</f>
        <v/>
      </c>
      <c r="O54" s="17">
        <f>IF(O$3="","",SUMPRODUCT(($A$4:$A$53&lt;&gt;"")*(O$4:O$53="○")))</f>
        <v/>
      </c>
      <c r="P54" s="17">
        <f>IF(P$3="","",SUMPRODUCT(($A$4:$A$53&lt;&gt;"")*(P$4:P$53="○")))</f>
        <v/>
      </c>
      <c r="Q54" s="17">
        <f>IF(Q$3="","",SUMPRODUCT(($A$4:$A$53&lt;&gt;"")*(Q$4:Q$53="○")))</f>
        <v/>
      </c>
      <c r="R54" s="17">
        <f>IF(R$3="","",SUMPRODUCT(($A$4:$A$53&lt;&gt;"")*(R$4:R$53="○")))</f>
        <v/>
      </c>
      <c r="S54" s="17">
        <f>IF(S$3="","",SUMPRODUCT(($A$4:$A$53&lt;&gt;"")*(S$4:S$53="○")))</f>
        <v/>
      </c>
      <c r="T54" s="17">
        <f>IF(T$3="","",SUMPRODUCT(($A$4:$A$53&lt;&gt;"")*(T$4:T$53="○")))</f>
        <v/>
      </c>
      <c r="U54" s="17">
        <f>IF(U$3="","",SUMPRODUCT(($A$4:$A$53&lt;&gt;"")*(U$4:U$53="○")))</f>
        <v/>
      </c>
      <c r="V54" s="17">
        <f>IF(V$3="","",SUMPRODUCT(($A$4:$A$53&lt;&gt;"")*(V$4:V$53="○")))</f>
        <v/>
      </c>
      <c r="W54" s="17">
        <f>IF(W$3="","",SUMPRODUCT(($A$4:$A$53&lt;&gt;"")*(W$4:W$53="○")))</f>
        <v/>
      </c>
      <c r="X54" s="17">
        <f>IF(X$3="","",SUMPRODUCT(($A$4:$A$53&lt;&gt;"")*(X$4:X$53="○")))</f>
        <v/>
      </c>
      <c r="Y54" s="17">
        <f>IF(Y$3="","",SUMPRODUCT(($A$4:$A$53&lt;&gt;"")*(Y$4:Y$53="○")))</f>
        <v/>
      </c>
      <c r="Z54" s="17">
        <f>IF(Z$3="","",SUMPRODUCT(($A$4:$A$53&lt;&gt;"")*(Z$4:Z$53="○")))</f>
        <v/>
      </c>
      <c r="AA54" s="17">
        <f>IF(AA$3="","",SUMPRODUCT(($A$4:$A$53&lt;&gt;"")*(AA$4:AA$53="○")))</f>
        <v/>
      </c>
      <c r="AB54" s="17">
        <f>IF(AB$3="","",SUMPRODUCT(($A$4:$A$53&lt;&gt;"")*(AB$4:AB$53="○")))</f>
        <v/>
      </c>
      <c r="AC54" s="17">
        <f>IF(AC$3="","",SUMPRODUCT(($A$4:$A$53&lt;&gt;"")*(AC$4:AC$53="○")))</f>
        <v/>
      </c>
      <c r="AD54" s="17">
        <f>IF(AD$3="","",SUMPRODUCT(($A$4:$A$53&lt;&gt;"")*(AD$4:AD$53="○")))</f>
        <v/>
      </c>
      <c r="AE54" s="17">
        <f>IF(AE$3="","",SUMPRODUCT(($A$4:$A$53&lt;&gt;"")*(AE$4:AE$53="○")))</f>
        <v/>
      </c>
      <c r="AF54" s="17">
        <f>IF(AF$3="","",SUMPRODUCT(($A$4:$A$53&lt;&gt;"")*(AF$4:AF$53="○")))</f>
        <v/>
      </c>
      <c r="AG54" s="17">
        <f>IF(AG$3="","",SUMPRODUCT(($A$4:$A$53&lt;&gt;"")*(AG$4:AG$53="○")))</f>
        <v/>
      </c>
      <c r="AH54" s="17">
        <f>IF(AH$3="","",SUMPRODUCT(($A$4:$A$53&lt;&gt;"")*(AH$4:AH$53="○")))</f>
        <v/>
      </c>
      <c r="AI54" s="17">
        <f>IF(AI$3="","",SUMPRODUCT(($A$4:$A$53&lt;&gt;"")*(AI$4:AI$53="○")))</f>
        <v/>
      </c>
      <c r="AJ54" s="17">
        <f>IF(AJ$3="","",SUMPRODUCT(($A$4:$A$53&lt;&gt;"")*(AJ$4:AJ$53="○")))</f>
        <v/>
      </c>
      <c r="AK54" s="17">
        <f>IF(AK$3="","",SUMPRODUCT(($A$4:$A$53&lt;&gt;"")*(AK$4:AK$53="○")))</f>
        <v/>
      </c>
      <c r="AL54" s="17">
        <f>IF(AL$3="","",SUMPRODUCT(($A$4:$A$53&lt;&gt;"")*(AL$4:AL$53="○")))</f>
        <v/>
      </c>
      <c r="AM54" s="17">
        <f>IF(AM$3="","",SUMPRODUCT(($A$4:$A$53&lt;&gt;"")*(AM$4:AM$53="○")))</f>
        <v/>
      </c>
      <c r="AN54" s="17">
        <f>IF(AN$3="","",SUMPRODUCT(($A$4:$A$53&lt;&gt;"")*(AN$4:AN$53="○")))</f>
        <v/>
      </c>
      <c r="AO54" s="17">
        <f>IF(AO$3="","",SUMPRODUCT(($A$4:$A$53&lt;&gt;"")*(AO$4:AO$53="○")))</f>
        <v/>
      </c>
      <c r="AP54" s="17">
        <f>IF(AP$3="","",SUMPRODUCT(($A$4:$A$53&lt;&gt;"")*(AP$4:AP$53="○")))</f>
        <v/>
      </c>
      <c r="AQ54" s="17">
        <f>IF(AQ$3="","",SUMPRODUCT(($A$4:$A$53&lt;&gt;"")*(AQ$4:AQ$53="○")))</f>
        <v/>
      </c>
      <c r="AR54" s="17">
        <f>IF(AR$3="","",SUMPRODUCT(($A$4:$A$53&lt;&gt;"")*(AR$4:AR$53="○")))</f>
        <v/>
      </c>
      <c r="AS54" s="17">
        <f>IF(AS$3="","",SUMPRODUCT(($A$4:$A$53&lt;&gt;"")*(AS$4:AS$53="○")))</f>
        <v/>
      </c>
      <c r="AT54" s="17">
        <f>IF(AT$3="","",SUMPRODUCT(($A$4:$A$53&lt;&gt;"")*(AT$4:AT$53="○")))</f>
        <v/>
      </c>
      <c r="AU54" s="17">
        <f>IF(AU$3="","",SUMPRODUCT(($A$4:$A$53&lt;&gt;"")*(AU$4:AU$53="○")))</f>
        <v/>
      </c>
      <c r="AV54" s="17">
        <f>IF(AV$3="","",SUMPRODUCT(($A$4:$A$53&lt;&gt;"")*(AV$4:AV$53="○")))</f>
        <v/>
      </c>
      <c r="AW54" s="17">
        <f>IF(AW$3="","",SUMPRODUCT(($A$4:$A$53&lt;&gt;"")*(AW$4:AW$53="○")))</f>
        <v/>
      </c>
      <c r="AX54" s="17">
        <f>IF(AX$3="","",SUMPRODUCT(($A$4:$A$53&lt;&gt;"")*(AX$4:AX$53="○")))</f>
        <v/>
      </c>
      <c r="AY54" s="17">
        <f>IF(AY$3="","",SUMPRODUCT(($A$4:$A$53&lt;&gt;"")*(AY$4:AY$53="○")))</f>
        <v/>
      </c>
      <c r="AZ54" s="17">
        <f>IF(AZ$3="","",SUMPRODUCT(($A$4:$A$53&lt;&gt;"")*(AZ$4:AZ$53="○")))</f>
        <v/>
      </c>
      <c r="BA54" s="17">
        <f>IF(BA$3="","",SUMPRODUCT(($A$4:$A$53&lt;&gt;"")*(BA$4:BA$53="○")))</f>
        <v/>
      </c>
      <c r="BB54" s="17">
        <f>IF(BB$3="","",SUMPRODUCT(($A$4:$A$53&lt;&gt;"")*(BB$4:BB$53="○")))</f>
        <v/>
      </c>
      <c r="BC54" s="17">
        <f>IF(BC$3="","",SUMPRODUCT(($A$4:$A$53&lt;&gt;"")*(BC$4:BC$53="○")))</f>
        <v/>
      </c>
      <c r="BD54" s="17">
        <f>IF(BD$3="","",SUMPRODUCT(($A$4:$A$53&lt;&gt;"")*(BD$4:BD$53="○")))</f>
        <v/>
      </c>
      <c r="BE54" s="17">
        <f>IF(BE$3="","",SUMPRODUCT(($A$4:$A$53&lt;&gt;"")*(BE$4:BE$53="○")))</f>
        <v/>
      </c>
      <c r="BF54" s="17">
        <f>IF(BF$3="","",SUMPRODUCT(($A$4:$A$53&lt;&gt;"")*(BF$4:BF$53="○")))</f>
        <v/>
      </c>
      <c r="BG54" s="17">
        <f>IF(BG$3="","",SUMPRODUCT(($A$4:$A$53&lt;&gt;"")*(BG$4:BG$53="○")))</f>
        <v/>
      </c>
      <c r="BH54" s="17">
        <f>IF(BH$3="","",SUMPRODUCT(($A$4:$A$53&lt;&gt;"")*(BH$4:BH$53="○")))</f>
        <v/>
      </c>
      <c r="BI54" s="17">
        <f>IF(BI$3="","",SUMPRODUCT(($A$4:$A$53&lt;&gt;"")*(BI$4:BI$53="○")))</f>
        <v/>
      </c>
      <c r="BJ54" s="17">
        <f>IF($A54="","",SUMPRODUCT(($B$3:$BI$3&lt;&gt;"")*($B54:BI54="○")))</f>
        <v/>
      </c>
      <c r="BK54" s="6">
        <f>IF($A54="","",IF($BJ54=0,"設計文書承接（BD-10）","OK"))</f>
        <v/>
      </c>
      <c r="BL54" s="6">
        <f>IF($A54="","",'2.要件一覧'!$L54)</f>
        <v/>
      </c>
    </row>
    <row r="55" ht="16.5" customHeight="1">
      <c r="A55" s="16">
        <f>IF('2.要件一覧'!A55="","",'2.要件一覧'!A55)</f>
        <v/>
      </c>
      <c r="BJ55" s="17">
        <f>IF($A55="","",SUMPRODUCT(($B$3:$BI$3&lt;&gt;"")*($B55:BI55="○")))</f>
        <v/>
      </c>
      <c r="BK55" s="6">
        <f>IF($A55="","",IF($BJ55=0,"設計文書承接（BD-10）","OK"))</f>
        <v/>
      </c>
      <c r="BL55" s="6">
        <f>IF($A55="","",'2.要件一覧'!$L55)</f>
        <v/>
      </c>
    </row>
    <row r="56" ht="16.5" customHeight="1">
      <c r="A56" s="16">
        <f>IF('2.要件一覧'!A56="","",'2.要件一覧'!A56)</f>
        <v/>
      </c>
      <c r="BJ56" s="17">
        <f>IF($A56="","",SUMPRODUCT(($B$3:$BI$3&lt;&gt;"")*($B56:BI56="○")))</f>
        <v/>
      </c>
      <c r="BK56" s="6">
        <f>IF($A56="","",IF($BJ56=0,"⚠ 未割当","OK"))</f>
        <v/>
      </c>
      <c r="BL56" s="6">
        <f>IF($A56="","",'2.要件一覧'!$L56)</f>
        <v/>
      </c>
    </row>
    <row r="57" ht="6" customHeight="1">
      <c r="A57" s="16">
        <f>IF('2.要件一覧'!A57="","",'2.要件一覧'!A57)</f>
        <v/>
      </c>
      <c r="BJ57" s="17">
        <f>IF($A57="","",SUMPRODUCT(($B$3:$BI$3&lt;&gt;"")*($B57:BI57="○")))</f>
        <v/>
      </c>
      <c r="BK57" s="6">
        <f>IF($A57="","",IF($BJ57=0,"⚠ 未割当","OK"))</f>
        <v/>
      </c>
      <c r="BL57" s="6">
        <f>IF($A57="","",'2.要件一覧'!$L57)</f>
        <v/>
      </c>
    </row>
    <row r="58" ht="6" customHeight="1">
      <c r="A58" s="16">
        <f>IF('2.要件一覧'!A58="","",'2.要件一覧'!A58)</f>
        <v/>
      </c>
      <c r="BJ58" s="17">
        <f>IF($A58="","",SUMPRODUCT(($B$3:$BI$3&lt;&gt;"")*($B58:BI58="○")))</f>
        <v/>
      </c>
      <c r="BK58" s="6">
        <f>IF($A58="","",IF($BJ58=0,"⚠ 未割当","OK"))</f>
        <v/>
      </c>
      <c r="BL58" s="6">
        <f>IF($A58="","",'2.要件一覧'!$L58)</f>
        <v/>
      </c>
    </row>
    <row r="59" ht="6" customHeight="1">
      <c r="A59" s="16">
        <f>IF('2.要件一覧'!A59="","",'2.要件一覧'!A59)</f>
        <v/>
      </c>
      <c r="BJ59" s="17">
        <f>IF($A59="","",SUMPRODUCT(($B$3:$BI$3&lt;&gt;"")*($B59:BI59="○")))</f>
        <v/>
      </c>
      <c r="BK59" s="6">
        <f>IF($A59="","",IF($BJ59=0,"⚠ 未割当","OK"))</f>
        <v/>
      </c>
      <c r="BL59" s="6">
        <f>IF($A59="","",'2.要件一覧'!$L59)</f>
        <v/>
      </c>
    </row>
    <row r="60" ht="6" customHeight="1">
      <c r="A60" s="16">
        <f>IF('2.要件一覧'!A60="","",'2.要件一覧'!A60)</f>
        <v/>
      </c>
      <c r="BJ60" s="17">
        <f>IF($A60="","",SUMPRODUCT(($B$3:$BI$3&lt;&gt;"")*($B60:BI60="○")))</f>
        <v/>
      </c>
      <c r="BK60" s="6">
        <f>IF($A60="","",IF($BJ60=0,"⚠ 未割当","OK"))</f>
        <v/>
      </c>
      <c r="BL60" s="6">
        <f>IF($A60="","",'2.要件一覧'!$L60)</f>
        <v/>
      </c>
    </row>
    <row r="61" ht="6" customHeight="1">
      <c r="A61" s="16">
        <f>IF('2.要件一覧'!A61="","",'2.要件一覧'!A61)</f>
        <v/>
      </c>
      <c r="BJ61" s="17">
        <f>IF($A61="","",SUMPRODUCT(($B$3:$BI$3&lt;&gt;"")*($B61:BI61="○")))</f>
        <v/>
      </c>
      <c r="BK61" s="6">
        <f>IF($A61="","",IF($BJ61=0,"⚠ 未割当","OK"))</f>
        <v/>
      </c>
      <c r="BL61" s="6">
        <f>IF($A61="","",'2.要件一覧'!$L61)</f>
        <v/>
      </c>
    </row>
    <row r="62" ht="6" customHeight="1">
      <c r="A62" s="16">
        <f>IF('2.要件一覧'!A62="","",'2.要件一覧'!A62)</f>
        <v/>
      </c>
      <c r="BJ62" s="17">
        <f>IF($A62="","",SUMPRODUCT(($B$3:$BI$3&lt;&gt;"")*($B62:BI62="○")))</f>
        <v/>
      </c>
      <c r="BK62" s="6">
        <f>IF($A62="","",IF($BJ62=0,"⚠ 未割当","OK"))</f>
        <v/>
      </c>
      <c r="BL62" s="6">
        <f>IF($A62="","",'2.要件一覧'!$L62)</f>
        <v/>
      </c>
    </row>
    <row r="63" ht="6" customHeight="1">
      <c r="A63" s="16">
        <f>IF('2.要件一覧'!A63="","",'2.要件一覧'!A63)</f>
        <v/>
      </c>
      <c r="BJ63" s="17">
        <f>IF($A63="","",SUMPRODUCT(($B$3:$BI$3&lt;&gt;"")*($B63:BI63="○")))</f>
        <v/>
      </c>
      <c r="BK63" s="6">
        <f>IF($A63="","",IF($BJ63=0,"⚠ 未割当","OK"))</f>
        <v/>
      </c>
      <c r="BL63" s="6">
        <f>IF($A63="","",'2.要件一覧'!$L63)</f>
        <v/>
      </c>
    </row>
    <row r="64" ht="33" customHeight="1">
      <c r="A64" s="9" t="inlineStr">
        <is>
          <t>列計（各機能的要件数）</t>
        </is>
      </c>
      <c r="B64" s="17">
        <f>IF(B$3="","",SUMPRODUCT(($A$4:$A$63&lt;&gt;"")*(B$4:B$63="○")))</f>
        <v/>
      </c>
      <c r="C64" s="17">
        <f>IF(C$3="","",SUMPRODUCT(($A$4:$A$63&lt;&gt;"")*(C$4:C$63="○")))</f>
        <v/>
      </c>
      <c r="D64" s="17">
        <f>IF(D$3="","",SUMPRODUCT(($A$4:$A$63&lt;&gt;"")*(D$4:D$63="○")))</f>
        <v/>
      </c>
      <c r="E64" s="17">
        <f>IF(E$3="","",SUMPRODUCT(($A$4:$A$63&lt;&gt;"")*(E$4:E$63="○")))</f>
        <v/>
      </c>
      <c r="F64" s="17">
        <f>IF(F$3="","",SUMPRODUCT(($A$4:$A$63&lt;&gt;"")*(F$4:F$63="○")))</f>
        <v/>
      </c>
      <c r="G64" s="17">
        <f>IF(G$3="","",SUMPRODUCT(($A$4:$A$63&lt;&gt;"")*(G$4:G$63="○")))</f>
        <v/>
      </c>
      <c r="H64" s="17">
        <f>IF(H$3="","",SUMPRODUCT(($A$4:$A$63&lt;&gt;"")*(H$4:H$63="○")))</f>
        <v/>
      </c>
      <c r="I64" s="17">
        <f>IF(I$3="","",SUMPRODUCT(($A$4:$A$63&lt;&gt;"")*(I$4:I$63="○")))</f>
        <v/>
      </c>
      <c r="J64" s="17">
        <f>IF(J$3="","",SUMPRODUCT(($A$4:$A$63&lt;&gt;"")*(J$4:J$63="○")))</f>
        <v/>
      </c>
      <c r="K64" s="17">
        <f>IF(K$3="","",SUMPRODUCT(($A$4:$A$63&lt;&gt;"")*(K$4:K$63="○")))</f>
        <v/>
      </c>
      <c r="L64" s="17">
        <f>IF(L$3="","",SUMPRODUCT(($A$4:$A$63&lt;&gt;"")*(L$4:L$63="○")))</f>
        <v/>
      </c>
      <c r="M64" s="17">
        <f>IF(M$3="","",SUMPRODUCT(($A$4:$A$63&lt;&gt;"")*(M$4:M$63="○")))</f>
        <v/>
      </c>
      <c r="N64" s="17">
        <f>IF(N$3="","",SUMPRODUCT(($A$4:$A$63&lt;&gt;"")*(N$4:N$63="○")))</f>
        <v/>
      </c>
      <c r="O64" s="17">
        <f>IF(O$3="","",SUMPRODUCT(($A$4:$A$63&lt;&gt;"")*(O$4:O$63="○")))</f>
        <v/>
      </c>
      <c r="P64" s="17">
        <f>IF(P$3="","",SUMPRODUCT(($A$4:$A$63&lt;&gt;"")*(P$4:P$63="○")))</f>
        <v/>
      </c>
      <c r="Q64" s="17">
        <f>IF(Q$3="","",SUMPRODUCT(($A$4:$A$63&lt;&gt;"")*(Q$4:Q$63="○")))</f>
        <v/>
      </c>
      <c r="R64" s="17">
        <f>IF(R$3="","",SUMPRODUCT(($A$4:$A$63&lt;&gt;"")*(R$4:R$63="○")))</f>
        <v/>
      </c>
      <c r="S64" s="17">
        <f>IF(S$3="","",SUMPRODUCT(($A$4:$A$63&lt;&gt;"")*(S$4:S$63="○")))</f>
        <v/>
      </c>
      <c r="T64" s="17">
        <f>IF(T$3="","",SUMPRODUCT(($A$4:$A$63&lt;&gt;"")*(T$4:T$63="○")))</f>
        <v/>
      </c>
      <c r="U64" s="17">
        <f>IF(U$3="","",SUMPRODUCT(($A$4:$A$63&lt;&gt;"")*(U$4:U$63="○")))</f>
        <v/>
      </c>
      <c r="V64" s="17">
        <f>IF(V$3="","",SUMPRODUCT(($A$4:$A$63&lt;&gt;"")*(V$4:V$63="○")))</f>
        <v/>
      </c>
      <c r="W64" s="17">
        <f>IF(W$3="","",SUMPRODUCT(($A$4:$A$63&lt;&gt;"")*(W$4:W$63="○")))</f>
        <v/>
      </c>
      <c r="X64" s="17">
        <f>IF(X$3="","",SUMPRODUCT(($A$4:$A$63&lt;&gt;"")*(X$4:X$63="○")))</f>
        <v/>
      </c>
      <c r="Y64" s="17">
        <f>IF(Y$3="","",SUMPRODUCT(($A$4:$A$63&lt;&gt;"")*(Y$4:Y$63="○")))</f>
        <v/>
      </c>
      <c r="Z64" s="17">
        <f>IF(Z$3="","",SUMPRODUCT(($A$4:$A$63&lt;&gt;"")*(Z$4:Z$63="○")))</f>
        <v/>
      </c>
      <c r="AA64" s="17">
        <f>IF(AA$3="","",SUMPRODUCT(($A$4:$A$63&lt;&gt;"")*(AA$4:AA$63="○")))</f>
        <v/>
      </c>
      <c r="AB64" s="17">
        <f>IF(AB$3="","",SUMPRODUCT(($A$4:$A$63&lt;&gt;"")*(AB$4:AB$63="○")))</f>
        <v/>
      </c>
      <c r="AC64" s="17">
        <f>IF(AC$3="","",SUMPRODUCT(($A$4:$A$63&lt;&gt;"")*(AC$4:AC$63="○")))</f>
        <v/>
      </c>
      <c r="AD64" s="17">
        <f>IF(AD$3="","",SUMPRODUCT(($A$4:$A$63&lt;&gt;"")*(AD$4:AD$63="○")))</f>
        <v/>
      </c>
      <c r="AE64" s="17">
        <f>IF(AE$3="","",SUMPRODUCT(($A$4:$A$63&lt;&gt;"")*(AE$4:AE$63="○")))</f>
        <v/>
      </c>
      <c r="AF64" s="17">
        <f>IF(AF$3="","",SUMPRODUCT(($A$4:$A$63&lt;&gt;"")*(AF$4:AF$63="○")))</f>
        <v/>
      </c>
      <c r="AG64" s="17">
        <f>IF(AG$3="","",SUMPRODUCT(($A$4:$A$63&lt;&gt;"")*(AG$4:AG$63="○")))</f>
        <v/>
      </c>
      <c r="AH64" s="17">
        <f>IF(AH$3="","",SUMPRODUCT(($A$4:$A$63&lt;&gt;"")*(AH$4:AH$63="○")))</f>
        <v/>
      </c>
      <c r="AI64" s="17">
        <f>IF(AI$3="","",SUMPRODUCT(($A$4:$A$63&lt;&gt;"")*(AI$4:AI$63="○")))</f>
        <v/>
      </c>
      <c r="AJ64" s="17">
        <f>IF(AJ$3="","",SUMPRODUCT(($A$4:$A$63&lt;&gt;"")*(AJ$4:AJ$63="○")))</f>
        <v/>
      </c>
      <c r="AK64" s="17">
        <f>IF(AK$3="","",SUMPRODUCT(($A$4:$A$63&lt;&gt;"")*(AK$4:AK$63="○")))</f>
        <v/>
      </c>
      <c r="AL64" s="17">
        <f>IF(AL$3="","",SUMPRODUCT(($A$4:$A$63&lt;&gt;"")*(AL$4:AL$63="○")))</f>
        <v/>
      </c>
      <c r="AM64" s="17">
        <f>IF(AM$3="","",SUMPRODUCT(($A$4:$A$63&lt;&gt;"")*(AM$4:AM$63="○")))</f>
        <v/>
      </c>
      <c r="AN64" s="17">
        <f>IF(AN$3="","",SUMPRODUCT(($A$4:$A$63&lt;&gt;"")*(AN$4:AN$63="○")))</f>
        <v/>
      </c>
      <c r="AO64" s="17">
        <f>IF(AO$3="","",SUMPRODUCT(($A$4:$A$63&lt;&gt;"")*(AO$4:AO$63="○")))</f>
        <v/>
      </c>
      <c r="AP64" s="17">
        <f>IF(AP$3="","",SUMPRODUCT(($A$4:$A$63&lt;&gt;"")*(AP$4:AP$63="○")))</f>
        <v/>
      </c>
      <c r="AQ64" s="17">
        <f>IF(AQ$3="","",SUMPRODUCT(($A$4:$A$63&lt;&gt;"")*(AQ$4:AQ$63="○")))</f>
        <v/>
      </c>
      <c r="AR64" s="17">
        <f>IF(AR$3="","",SUMPRODUCT(($A$4:$A$63&lt;&gt;"")*(AR$4:AR$63="○")))</f>
        <v/>
      </c>
      <c r="AS64" s="17">
        <f>IF(AS$3="","",SUMPRODUCT(($A$4:$A$63&lt;&gt;"")*(AS$4:AS$63="○")))</f>
        <v/>
      </c>
      <c r="AT64" s="17">
        <f>IF(AT$3="","",SUMPRODUCT(($A$4:$A$63&lt;&gt;"")*(AT$4:AT$63="○")))</f>
        <v/>
      </c>
      <c r="AU64" s="17">
        <f>IF(AU$3="","",SUMPRODUCT(($A$4:$A$63&lt;&gt;"")*(AU$4:AU$63="○")))</f>
        <v/>
      </c>
      <c r="AV64" s="17">
        <f>IF(AV$3="","",SUMPRODUCT(($A$4:$A$63&lt;&gt;"")*(AV$4:AV$63="○")))</f>
        <v/>
      </c>
      <c r="AW64" s="17">
        <f>IF(AW$3="","",SUMPRODUCT(($A$4:$A$63&lt;&gt;"")*(AW$4:AW$63="○")))</f>
        <v/>
      </c>
      <c r="AX64" s="17">
        <f>IF(AX$3="","",SUMPRODUCT(($A$4:$A$63&lt;&gt;"")*(AX$4:AX$63="○")))</f>
        <v/>
      </c>
      <c r="AY64" s="17">
        <f>IF(AY$3="","",SUMPRODUCT(($A$4:$A$63&lt;&gt;"")*(AY$4:AY$63="○")))</f>
        <v/>
      </c>
      <c r="AZ64" s="17">
        <f>IF(AZ$3="","",SUMPRODUCT(($A$4:$A$63&lt;&gt;"")*(AZ$4:AZ$63="○")))</f>
        <v/>
      </c>
      <c r="BA64" s="17">
        <f>IF(BA$3="","",SUMPRODUCT(($A$4:$A$63&lt;&gt;"")*(BA$4:BA$63="○")))</f>
        <v/>
      </c>
      <c r="BB64" s="17">
        <f>IF(BB$3="","",SUMPRODUCT(($A$4:$A$63&lt;&gt;"")*(BB$4:BB$63="○")))</f>
        <v/>
      </c>
      <c r="BC64" s="17">
        <f>IF(BC$3="","",SUMPRODUCT(($A$4:$A$63&lt;&gt;"")*(BC$4:BC$63="○")))</f>
        <v/>
      </c>
      <c r="BD64" s="17">
        <f>IF(BD$3="","",SUMPRODUCT(($A$4:$A$63&lt;&gt;"")*(BD$4:BD$63="○")))</f>
        <v/>
      </c>
      <c r="BE64" s="17">
        <f>IF(BE$3="","",SUMPRODUCT(($A$4:$A$63&lt;&gt;"")*(BE$4:BE$63="○")))</f>
        <v/>
      </c>
      <c r="BF64" s="17">
        <f>IF(BF$3="","",SUMPRODUCT(($A$4:$A$63&lt;&gt;"")*(BF$4:BF$63="○")))</f>
        <v/>
      </c>
      <c r="BG64" s="17">
        <f>IF(BG$3="","",SUMPRODUCT(($A$4:$A$63&lt;&gt;"")*(BG$4:BG$63="○")))</f>
        <v/>
      </c>
      <c r="BH64" s="17">
        <f>IF(BH$3="","",SUMPRODUCT(($A$4:$A$63&lt;&gt;"")*(BH$4:BH$63="○")))</f>
        <v/>
      </c>
      <c r="BI64" s="17">
        <f>IF(BI$3="","",SUMPRODUCT(($A$4:$A$63&lt;&gt;"")*(BI$4:BI$63="○")))</f>
        <v/>
      </c>
      <c r="BJ64" s="18">
        <f>SUM(BJ4:BJ63)</f>
        <v/>
      </c>
    </row>
  </sheetData>
  <mergeCells count="2">
    <mergeCell ref="A1:C1"/>
    <mergeCell ref="A2:C2"/>
  </mergeCells>
  <conditionalFormatting sqref="BL4">
    <cfRule type="expression" priority="50" dxfId="1">
      <formula>$BK4="⚠ 未割当"</formula>
    </cfRule>
  </conditionalFormatting>
  <conditionalFormatting sqref="BL5">
    <cfRule type="expression" priority="49" dxfId="1">
      <formula>$BK5="⚠ 未割当"</formula>
    </cfRule>
  </conditionalFormatting>
  <conditionalFormatting sqref="BL6">
    <cfRule type="expression" priority="48" dxfId="1">
      <formula>$BK6="⚠ 未割当"</formula>
    </cfRule>
  </conditionalFormatting>
  <conditionalFormatting sqref="BL7">
    <cfRule type="expression" priority="47" dxfId="1">
      <formula>$BK7="⚠ 未割当"</formula>
    </cfRule>
  </conditionalFormatting>
  <conditionalFormatting sqref="BL8">
    <cfRule type="expression" priority="46" dxfId="1">
      <formula>$BK8="⚠ 未割当"</formula>
    </cfRule>
  </conditionalFormatting>
  <conditionalFormatting sqref="BL9">
    <cfRule type="expression" priority="45" dxfId="1">
      <formula>$BK9="⚠ 未割当"</formula>
    </cfRule>
  </conditionalFormatting>
  <conditionalFormatting sqref="BL10">
    <cfRule type="expression" priority="44" dxfId="1">
      <formula>$BK10="⚠ 未割当"</formula>
    </cfRule>
  </conditionalFormatting>
  <conditionalFormatting sqref="BL11">
    <cfRule type="expression" priority="43" dxfId="1">
      <formula>$BK11="⚠ 未割当"</formula>
    </cfRule>
  </conditionalFormatting>
  <conditionalFormatting sqref="BL12">
    <cfRule type="expression" priority="42" dxfId="1">
      <formula>$BK12="⚠ 未割当"</formula>
    </cfRule>
  </conditionalFormatting>
  <conditionalFormatting sqref="BL13">
    <cfRule type="expression" priority="41" dxfId="1">
      <formula>$BK13="⚠ 未割当"</formula>
    </cfRule>
  </conditionalFormatting>
  <conditionalFormatting sqref="BL14">
    <cfRule type="expression" priority="40" dxfId="1">
      <formula>$BK14="⚠ 未割当"</formula>
    </cfRule>
  </conditionalFormatting>
  <conditionalFormatting sqref="BL15">
    <cfRule type="expression" priority="39" dxfId="1">
      <formula>$BK15="⚠ 未割当"</formula>
    </cfRule>
  </conditionalFormatting>
  <conditionalFormatting sqref="BL16">
    <cfRule type="expression" priority="38" dxfId="1">
      <formula>$BK16="⚠ 未割当"</formula>
    </cfRule>
  </conditionalFormatting>
  <conditionalFormatting sqref="BL17">
    <cfRule type="expression" priority="37" dxfId="1">
      <formula>$BK17="⚠ 未割当"</formula>
    </cfRule>
  </conditionalFormatting>
  <conditionalFormatting sqref="BL18">
    <cfRule type="expression" priority="36" dxfId="1">
      <formula>$BK18="⚠ 未割当"</formula>
    </cfRule>
  </conditionalFormatting>
  <conditionalFormatting sqref="BL19">
    <cfRule type="expression" priority="35" dxfId="1">
      <formula>$BK19="⚠ 未割当"</formula>
    </cfRule>
  </conditionalFormatting>
  <conditionalFormatting sqref="BL20">
    <cfRule type="expression" priority="34" dxfId="1">
      <formula>$BK20="⚠ 未割当"</formula>
    </cfRule>
  </conditionalFormatting>
  <conditionalFormatting sqref="BL21">
    <cfRule type="expression" priority="33" dxfId="1">
      <formula>$BK21="⚠ 未割当"</formula>
    </cfRule>
  </conditionalFormatting>
  <conditionalFormatting sqref="BL22">
    <cfRule type="expression" priority="32" dxfId="1">
      <formula>$BK22="⚠ 未割当"</formula>
    </cfRule>
  </conditionalFormatting>
  <conditionalFormatting sqref="BL23">
    <cfRule type="expression" priority="31" dxfId="1">
      <formula>$BK23="⚠ 未割当"</formula>
    </cfRule>
  </conditionalFormatting>
  <conditionalFormatting sqref="BL24">
    <cfRule type="expression" priority="30" dxfId="1">
      <formula>$BK24="⚠ 未割当"</formula>
    </cfRule>
  </conditionalFormatting>
  <conditionalFormatting sqref="BL25">
    <cfRule type="expression" priority="29" dxfId="1">
      <formula>$BK25="⚠ 未割当"</formula>
    </cfRule>
  </conditionalFormatting>
  <conditionalFormatting sqref="BL26">
    <cfRule type="expression" priority="28" dxfId="1">
      <formula>$BK26="⚠ 未割当"</formula>
    </cfRule>
  </conditionalFormatting>
  <conditionalFormatting sqref="BL27">
    <cfRule type="expression" priority="27" dxfId="1">
      <formula>$BK27="⚠ 未割当"</formula>
    </cfRule>
  </conditionalFormatting>
  <conditionalFormatting sqref="BL28">
    <cfRule type="expression" priority="26" dxfId="1">
      <formula>$BK28="⚠ 未割当"</formula>
    </cfRule>
  </conditionalFormatting>
  <conditionalFormatting sqref="BL29">
    <cfRule type="expression" priority="25" dxfId="1">
      <formula>$BK29="⚠ 未割当"</formula>
    </cfRule>
  </conditionalFormatting>
  <conditionalFormatting sqref="BL30">
    <cfRule type="expression" priority="24" dxfId="1">
      <formula>$BK30="⚠ 未割当"</formula>
    </cfRule>
  </conditionalFormatting>
  <conditionalFormatting sqref="BL31">
    <cfRule type="expression" priority="23" dxfId="1">
      <formula>$BK31="⚠ 未割当"</formula>
    </cfRule>
  </conditionalFormatting>
  <conditionalFormatting sqref="BL32">
    <cfRule type="expression" priority="22" dxfId="1">
      <formula>$BK32="⚠ 未割当"</formula>
    </cfRule>
  </conditionalFormatting>
  <conditionalFormatting sqref="BL33">
    <cfRule type="expression" priority="21" dxfId="1">
      <formula>$BK33="⚠ 未割当"</formula>
    </cfRule>
  </conditionalFormatting>
  <conditionalFormatting sqref="BL34">
    <cfRule type="expression" priority="20" dxfId="1">
      <formula>$BK34="⚠ 未割当"</formula>
    </cfRule>
  </conditionalFormatting>
  <conditionalFormatting sqref="BL35">
    <cfRule type="expression" priority="19" dxfId="1">
      <formula>$BK35="⚠ 未割当"</formula>
    </cfRule>
  </conditionalFormatting>
  <conditionalFormatting sqref="BL36">
    <cfRule type="expression" priority="18" dxfId="1">
      <formula>$BK36="⚠ 未割当"</formula>
    </cfRule>
  </conditionalFormatting>
  <conditionalFormatting sqref="BL37">
    <cfRule type="expression" priority="17" dxfId="1">
      <formula>$BK37="⚠ 未割当"</formula>
    </cfRule>
  </conditionalFormatting>
  <conditionalFormatting sqref="BL38">
    <cfRule type="expression" priority="16" dxfId="1">
      <formula>$BK38="⚠ 未割当"</formula>
    </cfRule>
  </conditionalFormatting>
  <conditionalFormatting sqref="BL39">
    <cfRule type="expression" priority="15" dxfId="1">
      <formula>$BK39="⚠ 未割当"</formula>
    </cfRule>
  </conditionalFormatting>
  <conditionalFormatting sqref="BL40">
    <cfRule type="expression" priority="14" dxfId="1">
      <formula>$BK40="⚠ 未割当"</formula>
    </cfRule>
  </conditionalFormatting>
  <conditionalFormatting sqref="BL41">
    <cfRule type="expression" priority="13" dxfId="1">
      <formula>$BK41="⚠ 未割当"</formula>
    </cfRule>
  </conditionalFormatting>
  <conditionalFormatting sqref="BL42">
    <cfRule type="expression" priority="12" dxfId="1">
      <formula>$BK42="⚠ 未割当"</formula>
    </cfRule>
  </conditionalFormatting>
  <conditionalFormatting sqref="BL43">
    <cfRule type="expression" priority="11" dxfId="1">
      <formula>$BK43="⚠ 未割当"</formula>
    </cfRule>
  </conditionalFormatting>
  <conditionalFormatting sqref="BL44">
    <cfRule type="expression" priority="10" dxfId="1">
      <formula>$BK44="⚠ 未割当"</formula>
    </cfRule>
  </conditionalFormatting>
  <conditionalFormatting sqref="BL45">
    <cfRule type="expression" priority="9" dxfId="1">
      <formula>$BK45="⚠ 未割当"</formula>
    </cfRule>
  </conditionalFormatting>
  <conditionalFormatting sqref="BL46">
    <cfRule type="expression" priority="8" dxfId="1">
      <formula>$BK46="⚠ 未割当"</formula>
    </cfRule>
  </conditionalFormatting>
  <conditionalFormatting sqref="BL47">
    <cfRule type="expression" priority="7" dxfId="1">
      <formula>$BK47="⚠ 未割当"</formula>
    </cfRule>
  </conditionalFormatting>
  <conditionalFormatting sqref="BL48">
    <cfRule type="expression" priority="6" dxfId="1">
      <formula>$BK48="⚠ 未割当"</formula>
    </cfRule>
  </conditionalFormatting>
  <conditionalFormatting sqref="BL49">
    <cfRule type="expression" priority="5" dxfId="1">
      <formula>$BK49="⚠ 未割当"</formula>
    </cfRule>
  </conditionalFormatting>
  <conditionalFormatting sqref="BL50">
    <cfRule type="expression" priority="4" dxfId="1">
      <formula>$BK50="⚠ 未割当"</formula>
    </cfRule>
  </conditionalFormatting>
  <conditionalFormatting sqref="BL51">
    <cfRule type="expression" priority="3" dxfId="1">
      <formula>$BK51="⚠ 未割当"</formula>
    </cfRule>
  </conditionalFormatting>
  <conditionalFormatting sqref="BL52">
    <cfRule type="expression" priority="2" dxfId="1">
      <formula>$BK52="⚠ 未割当"</formula>
    </cfRule>
  </conditionalFormatting>
  <conditionalFormatting sqref="BL53">
    <cfRule type="expression" priority="1" dxfId="1">
      <formula>$BK53="⚠ 未割当"</formula>
    </cfRule>
  </conditionalFormatting>
  <conditionalFormatting sqref="A4:BK53">
    <cfRule type="expression" priority="52" dxfId="1">
      <formula>$BK4="⚠ 未割当"</formula>
    </cfRule>
  </conditionalFormatting>
  <conditionalFormatting sqref="B4:BI53">
    <cfRule type="expression" priority="51" dxfId="2">
      <formula>B4="○"</formula>
    </cfRule>
  </conditionalFormatting>
  <dataValidations count="1">
    <dataValidation sqref="B4:BI63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1"/>
</worksheet>
</file>

<file path=xl/worksheets/sheet16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CF64"/>
  <sheetViews>
    <sheetView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CF3" sqref="CF3"/>
    </sheetView>
  </sheetViews>
  <sheetFormatPr baseColWidth="8" defaultColWidth="9" defaultRowHeight="13.5"/>
  <cols>
    <col width="14" customWidth="1" min="1" max="1"/>
    <col width="6.5" customWidth="1" min="2" max="15"/>
    <col width="8.25" customWidth="1" min="16" max="16"/>
    <col width="1.75" customWidth="1" min="17" max="81"/>
    <col width="8" customWidth="1" min="82" max="82"/>
    <col width="16" customWidth="1" min="83" max="83"/>
    <col width="12.625" customWidth="1" min="84" max="84"/>
  </cols>
  <sheetData>
    <row r="1" ht="26" customHeight="1">
      <c r="A1" s="1" t="inlineStr">
        <is>
          <t>機能 × 画面　カバレッジ行列</t>
        </is>
      </c>
    </row>
    <row r="2" ht="22" customHeight="1">
      <c r="A2" s="2" t="inlineStr">
        <is>
          <t>行=機能、列=画面。交叉格用下拉填「○」。合計为 0 的机能可能是后台批处理（合理），也可能是画面漏设计，需逐条确认。</t>
        </is>
      </c>
    </row>
    <row r="3" ht="26" customHeight="1">
      <c r="A3" s="3" t="inlineStr">
        <is>
          <t>機能＼画面</t>
        </is>
      </c>
      <c r="B3" s="15">
        <f>IF('4.画面一覧'!A4="","",'4.画面一覧'!A4)</f>
        <v/>
      </c>
      <c r="C3" s="15">
        <f>IF('4.画面一覧'!A5="","",'4.画面一覧'!A5)</f>
        <v/>
      </c>
      <c r="D3" s="15">
        <f>IF('4.画面一覧'!A6="","",'4.画面一覧'!A6)</f>
        <v/>
      </c>
      <c r="E3" s="15">
        <f>IF('4.画面一覧'!A7="","",'4.画面一覧'!A7)</f>
        <v/>
      </c>
      <c r="F3" s="15">
        <f>IF('4.画面一覧'!A8="","",'4.画面一覧'!A8)</f>
        <v/>
      </c>
      <c r="G3" s="15">
        <f>IF('4.画面一覧'!A9="","",'4.画面一覧'!A9)</f>
        <v/>
      </c>
      <c r="H3" s="15">
        <f>IF('4.画面一覧'!A10="","",'4.画面一覧'!A10)</f>
        <v/>
      </c>
      <c r="I3" s="15">
        <f>IF('4.画面一覧'!A11="","",'4.画面一覧'!A11)</f>
        <v/>
      </c>
      <c r="J3" s="15">
        <f>IF('4.画面一覧'!A12="","",'4.画面一覧'!A12)</f>
        <v/>
      </c>
      <c r="K3" s="15">
        <f>IF('4.画面一覧'!A13="","",'4.画面一覧'!A13)</f>
        <v/>
      </c>
      <c r="L3" s="15">
        <f>IF('4.画面一覧'!A14="","",'4.画面一覧'!A14)</f>
        <v/>
      </c>
      <c r="M3" s="15">
        <f>IF('4.画面一覧'!A15="","",'4.画面一覧'!A15)</f>
        <v/>
      </c>
      <c r="N3" s="15">
        <f>IF('4.画面一覧'!A16="","",'4.画面一覧'!A16)</f>
        <v/>
      </c>
      <c r="O3" s="15">
        <f>IF('4.画面一覧'!A17="","",'4.画面一覧'!A17)</f>
        <v/>
      </c>
      <c r="P3" s="15">
        <f>IF('4.画面一覧'!A18="","",'4.画面一覧'!A18)</f>
        <v/>
      </c>
      <c r="Q3" s="15">
        <f>IF('4.画面一覧'!A19="","",'4.画面一覧'!A19)</f>
        <v/>
      </c>
      <c r="R3" s="15">
        <f>IF('4.画面一覧'!A20="","",'4.画面一覧'!A20)</f>
        <v/>
      </c>
      <c r="S3" s="15">
        <f>IF('4.画面一覧'!A21="","",'4.画面一覧'!A21)</f>
        <v/>
      </c>
      <c r="T3" s="15">
        <f>IF('4.画面一覧'!A22="","",'4.画面一覧'!A22)</f>
        <v/>
      </c>
      <c r="U3" s="15">
        <f>IF('4.画面一覧'!A23="","",'4.画面一覧'!A23)</f>
        <v/>
      </c>
      <c r="V3" s="15">
        <f>IF('4.画面一覧'!A24="","",'4.画面一覧'!A24)</f>
        <v/>
      </c>
      <c r="W3" s="15">
        <f>IF('4.画面一覧'!A25="","",'4.画面一覧'!A25)</f>
        <v/>
      </c>
      <c r="X3" s="15">
        <f>IF('4.画面一覧'!A26="","",'4.画面一覧'!A26)</f>
        <v/>
      </c>
      <c r="Y3" s="15">
        <f>IF('4.画面一覧'!A27="","",'4.画面一覧'!A27)</f>
        <v/>
      </c>
      <c r="Z3" s="15">
        <f>IF('4.画面一覧'!A28="","",'4.画面一覧'!A28)</f>
        <v/>
      </c>
      <c r="AA3" s="15">
        <f>IF('4.画面一覧'!A29="","",'4.画面一覧'!A29)</f>
        <v/>
      </c>
      <c r="AB3" s="15">
        <f>IF('4.画面一覧'!A30="","",'4.画面一覧'!A30)</f>
        <v/>
      </c>
      <c r="AC3" s="15">
        <f>IF('4.画面一覧'!A31="","",'4.画面一覧'!A31)</f>
        <v/>
      </c>
      <c r="AD3" s="15">
        <f>IF('4.画面一覧'!A32="","",'4.画面一覧'!A32)</f>
        <v/>
      </c>
      <c r="AE3" s="15">
        <f>IF('4.画面一覧'!A33="","",'4.画面一覧'!A33)</f>
        <v/>
      </c>
      <c r="AF3" s="15">
        <f>IF('4.画面一覧'!A34="","",'4.画面一覧'!A34)</f>
        <v/>
      </c>
      <c r="AG3" s="15">
        <f>IF('4.画面一覧'!A35="","",'4.画面一覧'!A35)</f>
        <v/>
      </c>
      <c r="AH3" s="15">
        <f>IF('4.画面一覧'!A36="","",'4.画面一覧'!A36)</f>
        <v/>
      </c>
      <c r="AI3" s="15">
        <f>IF('4.画面一覧'!A37="","",'4.画面一覧'!A37)</f>
        <v/>
      </c>
      <c r="AJ3" s="15">
        <f>IF('4.画面一覧'!A38="","",'4.画面一覧'!A38)</f>
        <v/>
      </c>
      <c r="AK3" s="15">
        <f>IF('4.画面一覧'!A39="","",'4.画面一覧'!A39)</f>
        <v/>
      </c>
      <c r="AL3" s="15">
        <f>IF('4.画面一覧'!A40="","",'4.画面一覧'!A40)</f>
        <v/>
      </c>
      <c r="AM3" s="15">
        <f>IF('4.画面一覧'!A41="","",'4.画面一覧'!A41)</f>
        <v/>
      </c>
      <c r="AN3" s="15">
        <f>IF('4.画面一覧'!A42="","",'4.画面一覧'!A42)</f>
        <v/>
      </c>
      <c r="AO3" s="15">
        <f>IF('4.画面一覧'!A43="","",'4.画面一覧'!A43)</f>
        <v/>
      </c>
      <c r="AP3" s="15">
        <f>IF('4.画面一覧'!A44="","",'4.画面一覧'!A44)</f>
        <v/>
      </c>
      <c r="AQ3" s="15">
        <f>IF('4.画面一覧'!A45="","",'4.画面一覧'!A45)</f>
        <v/>
      </c>
      <c r="AR3" s="15">
        <f>IF('4.画面一覧'!A46="","",'4.画面一覧'!A46)</f>
        <v/>
      </c>
      <c r="AS3" s="15">
        <f>IF('4.画面一覧'!A47="","",'4.画面一覧'!A47)</f>
        <v/>
      </c>
      <c r="AT3" s="15">
        <f>IF('4.画面一覧'!A48="","",'4.画面一覧'!A48)</f>
        <v/>
      </c>
      <c r="AU3" s="15">
        <f>IF('4.画面一覧'!A49="","",'4.画面一覧'!A49)</f>
        <v/>
      </c>
      <c r="AV3" s="15">
        <f>IF('4.画面一覧'!A50="","",'4.画面一覧'!A50)</f>
        <v/>
      </c>
      <c r="AW3" s="15">
        <f>IF('4.画面一覧'!A51="","",'4.画面一覧'!A51)</f>
        <v/>
      </c>
      <c r="AX3" s="15">
        <f>IF('4.画面一覧'!A52="","",'4.画面一覧'!A52)</f>
        <v/>
      </c>
      <c r="AY3" s="15">
        <f>IF('4.画面一覧'!A53="","",'4.画面一覧'!A53)</f>
        <v/>
      </c>
      <c r="AZ3" s="15">
        <f>IF('4.画面一覧'!A54="","",'4.画面一覧'!A54)</f>
        <v/>
      </c>
      <c r="BA3" s="15">
        <f>IF('4.画面一覧'!A55="","",'4.画面一覧'!A55)</f>
        <v/>
      </c>
      <c r="BB3" s="15">
        <f>IF('4.画面一覧'!A56="","",'4.画面一覧'!A56)</f>
        <v/>
      </c>
      <c r="BC3" s="15">
        <f>IF('4.画面一覧'!A57="","",'4.画面一覧'!A57)</f>
        <v/>
      </c>
      <c r="BD3" s="15">
        <f>IF('4.画面一覧'!A58="","",'4.画面一覧'!A58)</f>
        <v/>
      </c>
      <c r="BE3" s="15">
        <f>IF('4.画面一覧'!A59="","",'4.画面一覧'!A59)</f>
        <v/>
      </c>
      <c r="BF3" s="15">
        <f>IF('4.画面一覧'!A60="","",'4.画面一覧'!A60)</f>
        <v/>
      </c>
      <c r="BG3" s="15">
        <f>IF('4.画面一覧'!A61="","",'4.画面一覧'!A61)</f>
        <v/>
      </c>
      <c r="BH3" s="15">
        <f>IF('4.画面一覧'!A62="","",'4.画面一覧'!A62)</f>
        <v/>
      </c>
      <c r="BI3" s="15">
        <f>IF('4.画面一覧'!A63="","",'4.画面一覧'!A63)</f>
        <v/>
      </c>
      <c r="BJ3" s="15">
        <f>IF('4.画面一覧'!A64="","",'4.画面一覧'!A64)</f>
        <v/>
      </c>
      <c r="BK3" s="15">
        <f>IF('4.画面一覧'!A65="","",'4.画面一覧'!A65)</f>
        <v/>
      </c>
      <c r="BL3" s="15">
        <f>IF('4.画面一覧'!A66="","",'4.画面一覧'!A66)</f>
        <v/>
      </c>
      <c r="BM3" s="15">
        <f>IF('4.画面一覧'!A67="","",'4.画面一覧'!A67)</f>
        <v/>
      </c>
      <c r="BN3" s="15">
        <f>IF('4.画面一覧'!A68="","",'4.画面一覧'!A68)</f>
        <v/>
      </c>
      <c r="BO3" s="15">
        <f>IF('4.画面一覧'!A69="","",'4.画面一覧'!A69)</f>
        <v/>
      </c>
      <c r="BP3" s="15">
        <f>IF('4.画面一覧'!A70="","",'4.画面一覧'!A70)</f>
        <v/>
      </c>
      <c r="BQ3" s="15">
        <f>IF('4.画面一覧'!A71="","",'4.画面一覧'!A71)</f>
        <v/>
      </c>
      <c r="BR3" s="15">
        <f>IF('4.画面一覧'!A72="","",'4.画面一覧'!A72)</f>
        <v/>
      </c>
      <c r="BS3" s="15">
        <f>IF('4.画面一覧'!A73="","",'4.画面一覧'!A73)</f>
        <v/>
      </c>
      <c r="BT3" s="15">
        <f>IF('4.画面一覧'!A74="","",'4.画面一覧'!A74)</f>
        <v/>
      </c>
      <c r="BU3" s="15">
        <f>IF('4.画面一覧'!A75="","",'4.画面一覧'!A75)</f>
        <v/>
      </c>
      <c r="BV3" s="15">
        <f>IF('4.画面一覧'!A76="","",'4.画面一覧'!A76)</f>
        <v/>
      </c>
      <c r="BW3" s="15">
        <f>IF('4.画面一覧'!A77="","",'4.画面一覧'!A77)</f>
        <v/>
      </c>
      <c r="BX3" s="15">
        <f>IF('4.画面一覧'!A78="","",'4.画面一覧'!A78)</f>
        <v/>
      </c>
      <c r="BY3" s="15">
        <f>IF('4.画面一覧'!A79="","",'4.画面一覧'!A79)</f>
        <v/>
      </c>
      <c r="BZ3" s="15">
        <f>IF('4.画面一覧'!A80="","",'4.画面一覧'!A80)</f>
        <v/>
      </c>
      <c r="CA3" s="15">
        <f>IF('4.画面一覧'!A81="","",'4.画面一覧'!A81)</f>
        <v/>
      </c>
      <c r="CB3" s="15">
        <f>IF('4.画面一覧'!A82="","",'4.画面一覧'!A82)</f>
        <v/>
      </c>
      <c r="CC3" s="15">
        <f>IF('4.画面一覧'!A83="","",'4.画面一覧'!A83)</f>
        <v/>
      </c>
      <c r="CD3" s="9" t="inlineStr">
        <is>
          <t>合計</t>
        </is>
      </c>
      <c r="CE3" s="9" t="inlineStr">
        <is>
          <t>判定</t>
        </is>
      </c>
      <c r="CF3" s="9" t="inlineStr">
        <is>
          <t>工程</t>
        </is>
      </c>
    </row>
    <row r="4" ht="17" customHeight="1">
      <c r="A4" s="16">
        <f>IF('3.機能一覧'!A4="","",'3.機能一覧'!A4)</f>
        <v/>
      </c>
      <c r="B4" s="5" t="inlineStr">
        <is>
          <t>○</t>
        </is>
      </c>
      <c r="C4" s="5" t="n"/>
      <c r="D4" s="6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17">
        <f>IF($A4="","",SUMPRODUCT(($B$3:$CC$3&lt;&gt;"")*($B4:CC4="○")))</f>
        <v/>
      </c>
      <c r="CE4" s="6">
        <f>IF($A4="","",IF($CD4=0,"⚠ 未割当","OK"))</f>
        <v/>
      </c>
      <c r="CF4" s="6">
        <f>IF($A4="","",'3.機能一覧'!$L4)</f>
        <v/>
      </c>
    </row>
    <row r="5" ht="17" customHeight="1">
      <c r="A5" s="16">
        <f>IF('3.機能一覧'!A5="","",'3.機能一覧'!A5)</f>
        <v/>
      </c>
      <c r="B5" s="5" t="n"/>
      <c r="C5" s="5" t="inlineStr">
        <is>
          <t>○</t>
        </is>
      </c>
      <c r="D5" s="5" t="n"/>
      <c r="E5" s="5" t="n"/>
      <c r="F5" s="6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17">
        <f>IF($A5="","",SUMPRODUCT(($B$3:$CC$3&lt;&gt;"")*($B5:CC5="○")))</f>
        <v/>
      </c>
      <c r="CE5" s="6">
        <f>IF($A5="","",IF($CD5=0,"⚠ 未割当","OK"))</f>
        <v/>
      </c>
      <c r="CF5" s="6">
        <f>IF($A5="","",'3.機能一覧'!$L5)</f>
        <v/>
      </c>
    </row>
    <row r="6" ht="17" customHeight="1">
      <c r="A6" s="16">
        <f>IF('3.機能一覧'!A6="","",'3.機能一覧'!A6)</f>
        <v/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17">
        <f>IF($A6="","",SUMPRODUCT(($B$3:$CC$3&lt;&gt;"")*($B6:CC6="○")))</f>
        <v/>
      </c>
      <c r="CE6" s="6">
        <f>IF($A6="","",IF($CD6=0,"⚠ 未割当","OK"))</f>
        <v/>
      </c>
      <c r="CF6" s="6">
        <f>IF($A6="","",'3.機能一覧'!$L6)</f>
        <v/>
      </c>
    </row>
    <row r="7" ht="17" customHeight="1">
      <c r="A7" s="16">
        <f>IF('3.機能一覧'!A7="","",'3.機能一覧'!A7)</f>
        <v/>
      </c>
      <c r="B7" s="5" t="n"/>
      <c r="C7" s="5" t="n"/>
      <c r="D7" s="5" t="inlineStr">
        <is>
          <t>○</t>
        </is>
      </c>
      <c r="E7" s="5" t="n"/>
      <c r="F7" s="5" t="n"/>
      <c r="G7" s="5" t="n"/>
      <c r="H7" s="6" t="n"/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17">
        <f>IF($A7="","",SUMPRODUCT(($B$3:$CC$3&lt;&gt;"")*($B7:CC7="○")))</f>
        <v/>
      </c>
      <c r="CE7" s="6">
        <f>IF($A7="","",IF($CD7=0,"⚠ 未割当","OK"))</f>
        <v/>
      </c>
      <c r="CF7" s="6">
        <f>IF($A7="","",'3.機能一覧'!$L7)</f>
        <v/>
      </c>
    </row>
    <row r="8" ht="17" customHeight="1">
      <c r="A8" s="16">
        <f>IF('3.機能一覧'!A8="","",'3.機能一覧'!A8)</f>
        <v/>
      </c>
      <c r="B8" s="5" t="n"/>
      <c r="C8" s="5" t="n"/>
      <c r="D8" s="5" t="inlineStr">
        <is>
          <t>○</t>
        </is>
      </c>
      <c r="E8" s="5" t="n"/>
      <c r="F8" s="5" t="n"/>
      <c r="G8" s="5" t="n"/>
      <c r="H8" s="5" t="n"/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17">
        <f>IF($A8="","",SUMPRODUCT(($B$3:$CC$3&lt;&gt;"")*($B8:CC8="○")))</f>
        <v/>
      </c>
      <c r="CE8" s="6">
        <f>IF($A8="","",IF($CD8=0,"⚠ 未割当","OK"))</f>
        <v/>
      </c>
      <c r="CF8" s="6">
        <f>IF($A8="","",'3.機能一覧'!$L8)</f>
        <v/>
      </c>
    </row>
    <row r="9" ht="17" customHeight="1">
      <c r="A9" s="16">
        <f>IF('3.機能一覧'!A9="","",'3.機能一覧'!A9)</f>
        <v/>
      </c>
      <c r="B9" s="5" t="n"/>
      <c r="C9" s="5" t="n"/>
      <c r="D9" s="5" t="inlineStr">
        <is>
          <t>○</t>
        </is>
      </c>
      <c r="E9" s="5" t="n"/>
      <c r="F9" s="5" t="n"/>
      <c r="G9" s="5" t="n"/>
      <c r="H9" s="5" t="n"/>
      <c r="I9" s="5" t="n"/>
      <c r="J9" s="6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17">
        <f>IF($A9="","",SUMPRODUCT(($B$3:$CC$3&lt;&gt;"")*($B9:CC9="○")))</f>
        <v/>
      </c>
      <c r="CE9" s="6">
        <f>IF($A9="","",IF($CD9=0,"⚠ 未割当","OK"))</f>
        <v/>
      </c>
      <c r="CF9" s="6">
        <f>IF($A9="","",'3.機能一覧'!$L9)</f>
        <v/>
      </c>
    </row>
    <row r="10" ht="17" customHeight="1">
      <c r="A10" s="16">
        <f>IF('3.機能一覧'!A10="","",'3.機能一覧'!A10)</f>
        <v/>
      </c>
      <c r="B10" s="5" t="n"/>
      <c r="C10" s="5" t="n"/>
      <c r="D10" s="5" t="inlineStr">
        <is>
          <t>○</t>
        </is>
      </c>
      <c r="E10" s="5" t="n"/>
      <c r="F10" s="5" t="n"/>
      <c r="G10" s="5" t="n"/>
      <c r="H10" s="5" t="n"/>
      <c r="I10" s="5" t="n"/>
      <c r="J10" s="5" t="n"/>
      <c r="K10" s="6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17">
        <f>IF($A10="","",SUMPRODUCT(($B$3:$CC$3&lt;&gt;"")*($B10:CC10="○")))</f>
        <v/>
      </c>
      <c r="CE10" s="6">
        <f>IF($A10="","",IF($CD10=0,"⚠ 未割当","OK"))</f>
        <v/>
      </c>
      <c r="CF10" s="6">
        <f>IF($A10="","",'3.機能一覧'!$L10)</f>
        <v/>
      </c>
    </row>
    <row r="11" ht="17" customHeight="1">
      <c r="A11" s="16">
        <f>IF('3.機能一覧'!A11="","",'3.機能一覧'!A11)</f>
        <v/>
      </c>
      <c r="B11" s="5" t="n"/>
      <c r="C11" s="5" t="n"/>
      <c r="D11" s="5" t="inlineStr">
        <is>
          <t>○</t>
        </is>
      </c>
      <c r="E11" s="5" t="n"/>
      <c r="F11" s="5" t="n"/>
      <c r="G11" s="5" t="n"/>
      <c r="H11" s="5" t="n"/>
      <c r="I11" s="5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17">
        <f>IF($A11="","",SUMPRODUCT(($B$3:$CC$3&lt;&gt;"")*($B11:CC11="○")))</f>
        <v/>
      </c>
      <c r="CE11" s="6">
        <f>IF($A11="","",IF($CD11=0,"⚠ 未割当","OK"))</f>
        <v/>
      </c>
      <c r="CF11" s="6">
        <f>IF($A11="","",'3.機能一覧'!$L11)</f>
        <v/>
      </c>
    </row>
    <row r="12" ht="17" customHeight="1">
      <c r="A12" s="16">
        <f>IF('3.機能一覧'!A12="","",'3.機能一覧'!A12)</f>
        <v/>
      </c>
      <c r="B12" s="5" t="n"/>
      <c r="C12" s="5" t="n"/>
      <c r="D12" s="5" t="inlineStr">
        <is>
          <t>○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6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17">
        <f>IF($A12="","",SUMPRODUCT(($B$3:$CC$3&lt;&gt;"")*($B12:CC12="○")))</f>
        <v/>
      </c>
      <c r="CE12" s="6">
        <f>IF($A12="","",IF($CD12=0,"⚠ 未割当","OK"))</f>
        <v/>
      </c>
      <c r="CF12" s="6">
        <f>IF($A12="","",'3.機能一覧'!$L12)</f>
        <v/>
      </c>
    </row>
    <row r="13" ht="17" customHeight="1">
      <c r="A13" s="16">
        <f>IF('3.機能一覧'!A13="","",'3.機能一覧'!A13)</f>
        <v/>
      </c>
      <c r="B13" s="6" t="n"/>
      <c r="C13" s="6" t="n"/>
      <c r="D13" s="5" t="n"/>
      <c r="E13" s="5" t="inlineStr">
        <is>
          <t>○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17">
        <f>IF($A13="","",SUMPRODUCT(($B$3:$CC$3&lt;&gt;"")*($B13:CC13="○")))</f>
        <v/>
      </c>
      <c r="CE13" s="6">
        <f>IF($A13="","",IF($CD13=0,"⚠ 未割当","OK"))</f>
        <v/>
      </c>
      <c r="CF13" s="6">
        <f>IF($A13="","",'3.機能一覧'!$L13)</f>
        <v/>
      </c>
    </row>
    <row r="14" ht="17" customHeight="1">
      <c r="A14" s="16">
        <f>IF('3.機能一覧'!A14="","",'3.機能一覧'!A14)</f>
        <v/>
      </c>
      <c r="B14" s="5" t="n"/>
      <c r="C14" s="5" t="n"/>
      <c r="D14" s="5" t="n"/>
      <c r="E14" s="5" t="inlineStr">
        <is>
          <t>○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17">
        <f>IF($A14="","",SUMPRODUCT(($B$3:$CC$3&lt;&gt;"")*($B14:CC14="○")))</f>
        <v/>
      </c>
      <c r="CE14" s="6">
        <f>IF($A14="","",IF($CD14=0,"⚠ 未割当","OK"))</f>
        <v/>
      </c>
      <c r="CF14" s="6">
        <f>IF($A14="","",'3.機能一覧'!$L14)</f>
        <v/>
      </c>
    </row>
    <row r="15" ht="17" customHeight="1">
      <c r="A15" s="16">
        <f>IF('3.機能一覧'!A15="","",'3.機能一覧'!A15)</f>
        <v/>
      </c>
      <c r="B15" s="5" t="n"/>
      <c r="C15" s="5" t="n"/>
      <c r="D15" s="5" t="n"/>
      <c r="E15" s="5" t="inlineStr">
        <is>
          <t>○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17">
        <f>IF($A15="","",SUMPRODUCT(($B$3:$CC$3&lt;&gt;"")*($B15:CC15="○")))</f>
        <v/>
      </c>
      <c r="CE15" s="6">
        <f>IF($A15="","",IF($CD15=0,"⚠ 未割当","OK"))</f>
        <v/>
      </c>
      <c r="CF15" s="6">
        <f>IF($A15="","",'3.機能一覧'!$L15)</f>
        <v/>
      </c>
    </row>
    <row r="16" ht="17" customHeight="1">
      <c r="A16" s="16">
        <f>IF('3.機能一覧'!A16="","",'3.機能一覧'!A16)</f>
        <v/>
      </c>
      <c r="B16" s="5" t="n"/>
      <c r="C16" s="5" t="n"/>
      <c r="D16" s="5" t="n"/>
      <c r="E16" s="5" t="inlineStr">
        <is>
          <t>○</t>
        </is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17">
        <f>IF($A16="","",SUMPRODUCT(($B$3:$CC$3&lt;&gt;"")*($B16:CC16="○")))</f>
        <v/>
      </c>
      <c r="CE16" s="6">
        <f>IF($A16="","",IF($CD16=0,"⚠ 未割当","OK"))</f>
        <v/>
      </c>
      <c r="CF16" s="6">
        <f>IF($A16="","",'3.機能一覧'!$L16)</f>
        <v/>
      </c>
    </row>
    <row r="17" ht="17" customHeight="1">
      <c r="A17" s="16">
        <f>IF('3.機能一覧'!A17="","",'3.機能一覧'!A17)</f>
        <v/>
      </c>
      <c r="B17" s="5" t="n"/>
      <c r="C17" s="5" t="n"/>
      <c r="D17" s="5" t="n"/>
      <c r="E17" s="5" t="n"/>
      <c r="F17" s="5" t="inlineStr">
        <is>
          <t>○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17">
        <f>IF($A17="","",SUMPRODUCT(($B$3:$CC$3&lt;&gt;"")*($B17:CC17="○")))</f>
        <v/>
      </c>
      <c r="CE17" s="6">
        <f>IF($A17="","",IF($CD17=0,"⚠ 未割当","OK"))</f>
        <v/>
      </c>
      <c r="CF17" s="6">
        <f>IF($A17="","",'3.機能一覧'!$L17)</f>
        <v/>
      </c>
    </row>
    <row r="18" ht="17" customHeight="1">
      <c r="A18" s="16">
        <f>IF('3.機能一覧'!A18="","",'3.機能一覧'!A18)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17">
        <f>IF($A18="","",SUMPRODUCT(($B$3:$CC$3&lt;&gt;"")*($B18:CC18="○")))</f>
        <v/>
      </c>
      <c r="CE18" s="6">
        <f>IF($A18="","",IF($CD18=0,"⚠ 未割当","OK"))</f>
        <v/>
      </c>
      <c r="CF18" s="6">
        <f>IF($A18="","",'3.機能一覧'!$L18)</f>
        <v/>
      </c>
    </row>
    <row r="19" ht="17" customHeight="1">
      <c r="A19" s="16">
        <f>IF('3.機能一覧'!A19="","",'3.機能一覧'!A19)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17">
        <f>IF($A19="","",SUMPRODUCT(($B$3:$CC$3&lt;&gt;"")*($B19:CC19="○")))</f>
        <v/>
      </c>
      <c r="CE19" s="6">
        <f>IF($A19="","",IF($CD19=0,"⚠ 未割当","OK"))</f>
        <v/>
      </c>
      <c r="CF19" s="6">
        <f>IF($A19="","",'3.機能一覧'!$L19)</f>
        <v/>
      </c>
    </row>
    <row r="20" ht="17" customHeight="1">
      <c r="A20" s="16">
        <f>IF('3.機能一覧'!A20="","",'3.機能一覧'!A20)</f>
        <v/>
      </c>
      <c r="B20" s="5" t="n"/>
      <c r="C20" s="5" t="n"/>
      <c r="D20" s="5" t="n"/>
      <c r="E20" s="5" t="inlineStr">
        <is>
          <t>○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17">
        <f>IF($A20="","",SUMPRODUCT(($B$3:$CC$3&lt;&gt;"")*($B20:CC20="○")))</f>
        <v/>
      </c>
      <c r="CE20" s="6">
        <f>IF($A20="","",IF($CD20=0,"⚠ 未割当","OK"))</f>
        <v/>
      </c>
      <c r="CF20" s="6">
        <f>IF($A20="","",'3.機能一覧'!$L20)</f>
        <v/>
      </c>
    </row>
    <row r="21" ht="17" customHeight="1">
      <c r="A21" s="16">
        <f>IF('3.機能一覧'!A21="","",'3.機能一覧'!A21)</f>
        <v/>
      </c>
      <c r="B21" s="5" t="n"/>
      <c r="C21" s="5" t="n"/>
      <c r="D21" s="5" t="n"/>
      <c r="E21" s="5" t="n"/>
      <c r="F21" s="5" t="n"/>
      <c r="G21" s="5" t="inlineStr">
        <is>
          <t>○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17">
        <f>IF($A21="","",SUMPRODUCT(($B$3:$CC$3&lt;&gt;"")*($B21:CC21="○")))</f>
        <v/>
      </c>
      <c r="CE21" s="6">
        <f>IF($A21="","",IF($CD21=0,"⚠ 未割当","OK"))</f>
        <v/>
      </c>
      <c r="CF21" s="6">
        <f>IF($A21="","",'3.機能一覧'!$L21)</f>
        <v/>
      </c>
    </row>
    <row r="22" ht="17" customHeight="1">
      <c r="A22" s="16">
        <f>IF('3.機能一覧'!A22="","",'3.機能一覧'!A22)</f>
        <v/>
      </c>
      <c r="B22" s="5" t="n"/>
      <c r="C22" s="5" t="n"/>
      <c r="D22" s="5" t="n"/>
      <c r="E22" s="5" t="n"/>
      <c r="F22" s="5" t="n"/>
      <c r="G22" s="5" t="n"/>
      <c r="H22" s="5" t="inlineStr">
        <is>
          <t>○</t>
        </is>
      </c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17">
        <f>IF($A22="","",SUMPRODUCT(($B$3:$CC$3&lt;&gt;"")*($B22:CC22="○")))</f>
        <v/>
      </c>
      <c r="CE22" s="6">
        <f>IF($A22="","",IF($CD22=0,"⚠ 未割当","OK"))</f>
        <v/>
      </c>
      <c r="CF22" s="6">
        <f>IF($A22="","",'3.機能一覧'!$L22)</f>
        <v/>
      </c>
    </row>
    <row r="23" ht="17" customHeight="1">
      <c r="A23" s="16">
        <f>IF('3.機能一覧'!A23="","",'3.機能一覧'!A23)</f>
        <v/>
      </c>
      <c r="B23" s="5" t="n"/>
      <c r="C23" s="5" t="n"/>
      <c r="D23" s="5" t="n"/>
      <c r="E23" s="5" t="n"/>
      <c r="F23" s="5" t="n"/>
      <c r="G23" s="5" t="n"/>
      <c r="H23" s="5" t="inlineStr">
        <is>
          <t>○</t>
        </is>
      </c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17">
        <f>IF($A23="","",SUMPRODUCT(($B$3:$CC$3&lt;&gt;"")*($B23:CC23="○")))</f>
        <v/>
      </c>
      <c r="CE23" s="6">
        <f>IF($A23="","",IF($CD23=0,"⚠ 未割当","OK"))</f>
        <v/>
      </c>
      <c r="CF23" s="6">
        <f>IF($A23="","",'3.機能一覧'!$L23)</f>
        <v/>
      </c>
    </row>
    <row r="24" ht="17" customHeight="1">
      <c r="A24" s="16">
        <f>IF('3.機能一覧'!A24="","",'3.機能一覧'!A24)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17">
        <f>IF($A24="","",SUMPRODUCT(($B$3:$CC$3&lt;&gt;"")*($B24:CC24="○")))</f>
        <v/>
      </c>
      <c r="CE24" s="6">
        <f>IF($A24="","",IF($CD24=0,"⚠ 未割当","OK"))</f>
        <v/>
      </c>
      <c r="CF24" s="6">
        <f>IF($A24="","",'3.機能一覧'!$L24)</f>
        <v/>
      </c>
    </row>
    <row r="25" ht="17" customHeight="1">
      <c r="A25" s="16">
        <f>IF('3.機能一覧'!A25="","",'3.機能一覧'!A25)</f>
        <v/>
      </c>
      <c r="B25" s="5" t="n"/>
      <c r="C25" s="5" t="n"/>
      <c r="D25" s="5" t="n"/>
      <c r="E25" s="5" t="n"/>
      <c r="F25" s="5" t="n"/>
      <c r="G25" s="5" t="n"/>
      <c r="H25" s="5" t="inlineStr">
        <is>
          <t>○</t>
        </is>
      </c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17">
        <f>IF($A25="","",SUMPRODUCT(($B$3:$CC$3&lt;&gt;"")*($B25:CC25="○")))</f>
        <v/>
      </c>
      <c r="CE25" s="6">
        <f>IF($A25="","",IF($CD25=0,"⚠ 未割当","OK"))</f>
        <v/>
      </c>
      <c r="CF25" s="6">
        <f>IF($A25="","",'3.機能一覧'!$L25)</f>
        <v/>
      </c>
    </row>
    <row r="26" ht="17" customHeight="1">
      <c r="A26" s="16">
        <f>IF('3.機能一覧'!A26="","",'3.機能一覧'!A26)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17">
        <f>IF($A26="","",SUMPRODUCT(($B$3:$CC$3&lt;&gt;"")*($B26:CC26="○")))</f>
        <v/>
      </c>
      <c r="CE26" s="6">
        <f>IF($A26="","",IF($CD26=0,"⚠ 未割当","OK"))</f>
        <v/>
      </c>
      <c r="CF26" s="6">
        <f>IF($A26="","",'3.機能一覧'!$L26)</f>
        <v/>
      </c>
    </row>
    <row r="27" ht="17" customHeight="1">
      <c r="A27" s="16">
        <f>IF('3.機能一覧'!A27="","",'3.機能一覧'!A27)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17">
        <f>IF($A27="","",SUMPRODUCT(($B$3:$CC$3&lt;&gt;"")*($B27:CC27="○")))</f>
        <v/>
      </c>
      <c r="CE27" s="6">
        <f>IF($A27="","",IF($CD27=0,"⚠ 未割当","OK"))</f>
        <v/>
      </c>
      <c r="CF27" s="6">
        <f>IF($A27="","",'3.機能一覧'!$L27)</f>
        <v/>
      </c>
    </row>
    <row r="28" ht="17" customHeight="1">
      <c r="A28" s="16">
        <f>IF('3.機能一覧'!A28="","",'3.機能一覧'!A28)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17">
        <f>IF($A28="","",SUMPRODUCT(($B$3:$CC$3&lt;&gt;"")*($B28:CC28="○")))</f>
        <v/>
      </c>
      <c r="CE28" s="6">
        <f>IF($A28="","",IF($CD28=0,"⚠ 未割当","OK"))</f>
        <v/>
      </c>
      <c r="CF28" s="6">
        <f>IF($A28="","",'3.機能一覧'!$L28)</f>
        <v/>
      </c>
    </row>
    <row r="29" ht="17" customHeight="1">
      <c r="A29" s="16">
        <f>IF('3.機能一覧'!A29="","",'3.機能一覧'!A29)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17">
        <f>IF($A29="","",SUMPRODUCT(($B$3:$CC$3&lt;&gt;"")*($B29:CC29="○")))</f>
        <v/>
      </c>
      <c r="CE29" s="6">
        <f>IF($A29="","",IF($CD29=0,"⚠ 未割当","OK"))</f>
        <v/>
      </c>
      <c r="CF29" s="6">
        <f>IF($A29="","",'3.機能一覧'!$L29)</f>
        <v/>
      </c>
    </row>
    <row r="30" ht="17" customHeight="1">
      <c r="A30" s="16">
        <f>IF('3.機能一覧'!A30="","",'3.機能一覧'!A30)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17">
        <f>IF($A30="","",SUMPRODUCT(($B$3:$CC$3&lt;&gt;"")*($B30:CC30="○")))</f>
        <v/>
      </c>
      <c r="CE30" s="6">
        <f>IF($A30="","",IF($CD30=0,"⚠ 未割当","OK"))</f>
        <v/>
      </c>
      <c r="CF30" s="6">
        <f>IF($A30="","",'3.機能一覧'!$L30)</f>
        <v/>
      </c>
    </row>
    <row r="31" ht="8" customHeight="1">
      <c r="A31" s="16">
        <f>IF('3.機能一覧'!A31="","",'3.機能一覧'!A31)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17">
        <f>IF($A31="","",SUMPRODUCT(($B$3:$CC$3&lt;&gt;"")*($B31:CC31="○")))</f>
        <v/>
      </c>
      <c r="CE31" s="6">
        <f>IF($A31="","",IF($CD31=0,"⚠ 未割当","OK"))</f>
        <v/>
      </c>
      <c r="CF31" s="6">
        <f>IF($A31="","",'3.機能一覧'!$L31)</f>
        <v/>
      </c>
    </row>
    <row r="32" ht="8" customHeight="1">
      <c r="A32" s="16">
        <f>IF('3.機能一覧'!A32="","",'3.機能一覧'!A32)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17">
        <f>IF($A32="","",SUMPRODUCT(($B$3:$CC$3&lt;&gt;"")*($B32:CC32="○")))</f>
        <v/>
      </c>
      <c r="CE32" s="6">
        <f>IF($A32="","",IF($CD32=0,"⚠ 未割当","OK"))</f>
        <v/>
      </c>
      <c r="CF32" s="6">
        <f>IF($A32="","",'3.機能一覧'!$L32)</f>
        <v/>
      </c>
    </row>
    <row r="33" ht="8" customHeight="1">
      <c r="A33" s="16">
        <f>IF('3.機能一覧'!A33="","",'3.機能一覧'!A33)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17">
        <f>IF($A33="","",SUMPRODUCT(($B$3:$CC$3&lt;&gt;"")*($B33:CC33="○")))</f>
        <v/>
      </c>
      <c r="CE33" s="6">
        <f>IF($A33="","",IF($CD33=0,"⚠ 未割当","OK"))</f>
        <v/>
      </c>
      <c r="CF33" s="6">
        <f>IF($A33="","",'3.機能一覧'!$L33)</f>
        <v/>
      </c>
    </row>
    <row r="34" ht="8" customHeight="1">
      <c r="A34" s="16">
        <f>IF('3.機能一覧'!A34="","",'3.機能一覧'!A34)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17">
        <f>IF($A34="","",SUMPRODUCT(($B$3:$CC$3&lt;&gt;"")*($B34:CC34="○")))</f>
        <v/>
      </c>
      <c r="CE34" s="6">
        <f>IF($A34="","",IF($CD34=0,"⚠ 未割当","OK"))</f>
        <v/>
      </c>
      <c r="CF34" s="6">
        <f>IF($A34="","",'3.機能一覧'!$L34)</f>
        <v/>
      </c>
    </row>
    <row r="35" ht="8" customHeight="1">
      <c r="A35" s="16">
        <f>IF('3.機能一覧'!A35="","",'3.機能一覧'!A35)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17">
        <f>IF($A35="","",SUMPRODUCT(($B$3:$CC$3&lt;&gt;"")*($B35:CC35="○")))</f>
        <v/>
      </c>
      <c r="CE35" s="6">
        <f>IF($A35="","",IF($CD35=0,"⚠ 未割当","OK"))</f>
        <v/>
      </c>
      <c r="CF35" s="6">
        <f>IF($A35="","",'3.機能一覧'!$L35)</f>
        <v/>
      </c>
    </row>
    <row r="36" ht="8" customHeight="1">
      <c r="A36" s="16">
        <f>IF('3.機能一覧'!A36="","",'3.機能一覧'!A36)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17">
        <f>IF($A36="","",SUMPRODUCT(($B$3:$CC$3&lt;&gt;"")*($B36:CC36="○")))</f>
        <v/>
      </c>
      <c r="CE36" s="6">
        <f>IF($A36="","",IF($CD36=0,"⚠ 未割当","OK"))</f>
        <v/>
      </c>
      <c r="CF36" s="6">
        <f>IF($A36="","",'3.機能一覧'!$L36)</f>
        <v/>
      </c>
    </row>
    <row r="37" ht="8" customHeight="1">
      <c r="A37" s="16">
        <f>IF('3.機能一覧'!A37="","",'3.機能一覧'!A37)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17">
        <f>IF($A37="","",SUMPRODUCT(($B$3:$CC$3&lt;&gt;"")*($B37:CC37="○")))</f>
        <v/>
      </c>
      <c r="CE37" s="6">
        <f>IF($A37="","",IF($CD37=0,"⚠ 未割当","OK"))</f>
        <v/>
      </c>
      <c r="CF37" s="6">
        <f>IF($A37="","",'3.機能一覧'!$L37)</f>
        <v/>
      </c>
    </row>
    <row r="38" ht="8" customHeight="1">
      <c r="A38" s="16">
        <f>IF('3.機能一覧'!A38="","",'3.機能一覧'!A38)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17">
        <f>IF($A38="","",SUMPRODUCT(($B$3:$CC$3&lt;&gt;"")*($B38:CC38="○")))</f>
        <v/>
      </c>
      <c r="CE38" s="6">
        <f>IF($A38="","",IF($CD38=0,"⚠ 未割当","OK"))</f>
        <v/>
      </c>
      <c r="CF38" s="6">
        <f>IF($A38="","",'3.機能一覧'!$L38)</f>
        <v/>
      </c>
    </row>
    <row r="39" ht="8" customHeight="1">
      <c r="A39" s="16">
        <f>IF('3.機能一覧'!A39="","",'3.機能一覧'!A39)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17">
        <f>IF($A39="","",SUMPRODUCT(($B$3:$CC$3&lt;&gt;"")*($B39:CC39="○")))</f>
        <v/>
      </c>
      <c r="CE39" s="6">
        <f>IF($A39="","",IF($CD39=0,"⚠ 未割当","OK"))</f>
        <v/>
      </c>
      <c r="CF39" s="6">
        <f>IF($A39="","",'3.機能一覧'!$L39)</f>
        <v/>
      </c>
    </row>
    <row r="40" ht="8" customHeight="1">
      <c r="A40" s="16">
        <f>IF('3.機能一覧'!A40="","",'3.機能一覧'!A40)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17">
        <f>IF($A40="","",SUMPRODUCT(($B$3:$CC$3&lt;&gt;"")*($B40:CC40="○")))</f>
        <v/>
      </c>
      <c r="CE40" s="6">
        <f>IF($A40="","",IF($CD40=0,"⚠ 未割当","OK"))</f>
        <v/>
      </c>
      <c r="CF40" s="6">
        <f>IF($A40="","",'3.機能一覧'!$L40)</f>
        <v/>
      </c>
    </row>
    <row r="41" ht="8" customHeight="1">
      <c r="A41" s="16">
        <f>IF('3.機能一覧'!A41="","",'3.機能一覧'!A41)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17">
        <f>IF($A41="","",SUMPRODUCT(($B$3:$CC$3&lt;&gt;"")*($B41:CC41="○")))</f>
        <v/>
      </c>
      <c r="CE41" s="6">
        <f>IF($A41="","",IF($CD41=0,"⚠ 未割当","OK"))</f>
        <v/>
      </c>
      <c r="CF41" s="6">
        <f>IF($A41="","",'3.機能一覧'!$L41)</f>
        <v/>
      </c>
    </row>
    <row r="42" ht="8" customHeight="1">
      <c r="A42" s="16">
        <f>IF('3.機能一覧'!A42="","",'3.機能一覧'!A42)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17">
        <f>IF($A42="","",SUMPRODUCT(($B$3:$CC$3&lt;&gt;"")*($B42:CC42="○")))</f>
        <v/>
      </c>
      <c r="CE42" s="6">
        <f>IF($A42="","",IF($CD42=0,"⚠ 未割当","OK"))</f>
        <v/>
      </c>
      <c r="CF42" s="6">
        <f>IF($A42="","",'3.機能一覧'!$L42)</f>
        <v/>
      </c>
    </row>
    <row r="43" ht="8" customHeight="1">
      <c r="A43" s="16">
        <f>IF('3.機能一覧'!A43="","",'3.機能一覧'!A43)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17">
        <f>IF($A43="","",SUMPRODUCT(($B$3:$CC$3&lt;&gt;"")*($B43:CC43="○")))</f>
        <v/>
      </c>
      <c r="CE43" s="6">
        <f>IF($A43="","",IF($CD43=0,"⚠ 未割当","OK"))</f>
        <v/>
      </c>
      <c r="CF43" s="6">
        <f>IF($A43="","",'3.機能一覧'!$L43)</f>
        <v/>
      </c>
    </row>
    <row r="44" ht="8" customHeight="1">
      <c r="A44" s="16">
        <f>IF('3.機能一覧'!A44="","",'3.機能一覧'!A44)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17">
        <f>IF($A44="","",SUMPRODUCT(($B$3:$CC$3&lt;&gt;"")*($B44:CC44="○")))</f>
        <v/>
      </c>
      <c r="CE44" s="6">
        <f>IF($A44="","",IF($CD44=0,"⚠ 未割当","OK"))</f>
        <v/>
      </c>
      <c r="CF44" s="6">
        <f>IF($A44="","",'3.機能一覧'!$L44)</f>
        <v/>
      </c>
    </row>
    <row r="45" ht="8" customHeight="1">
      <c r="A45" s="16">
        <f>IF('3.機能一覧'!A45="","",'3.機能一覧'!A45)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17">
        <f>IF($A45="","",SUMPRODUCT(($B$3:$CC$3&lt;&gt;"")*($B45:CC45="○")))</f>
        <v/>
      </c>
      <c r="CE45" s="6">
        <f>IF($A45="","",IF($CD45=0,"⚠ 未割当","OK"))</f>
        <v/>
      </c>
      <c r="CF45" s="6">
        <f>IF($A45="","",'3.機能一覧'!$L45)</f>
        <v/>
      </c>
    </row>
    <row r="46" ht="8" customHeight="1">
      <c r="A46" s="16">
        <f>IF('3.機能一覧'!A46="","",'3.機能一覧'!A46)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17">
        <f>IF($A46="","",SUMPRODUCT(($B$3:$CC$3&lt;&gt;"")*($B46:CC46="○")))</f>
        <v/>
      </c>
      <c r="CE46" s="6">
        <f>IF($A46="","",IF($CD46=0,"⚠ 未割当","OK"))</f>
        <v/>
      </c>
      <c r="CF46" s="6">
        <f>IF($A46="","",'3.機能一覧'!$L46)</f>
        <v/>
      </c>
    </row>
    <row r="47" ht="8" customHeight="1">
      <c r="A47" s="16">
        <f>IF('3.機能一覧'!A47="","",'3.機能一覧'!A47)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17">
        <f>IF($A47="","",SUMPRODUCT(($B$3:$CC$3&lt;&gt;"")*($B47:CC47="○")))</f>
        <v/>
      </c>
      <c r="CE47" s="6">
        <f>IF($A47="","",IF($CD47=0,"⚠ 未割当","OK"))</f>
        <v/>
      </c>
      <c r="CF47" s="6">
        <f>IF($A47="","",'3.機能一覧'!$L47)</f>
        <v/>
      </c>
    </row>
    <row r="48" ht="8" customHeight="1">
      <c r="A48" s="16">
        <f>IF('3.機能一覧'!A48="","",'3.機能一覧'!A48)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17">
        <f>IF($A48="","",SUMPRODUCT(($B$3:$CC$3&lt;&gt;"")*($B48:CC48="○")))</f>
        <v/>
      </c>
      <c r="CE48" s="6">
        <f>IF($A48="","",IF($CD48=0,"⚠ 未割当","OK"))</f>
        <v/>
      </c>
      <c r="CF48" s="6">
        <f>IF($A48="","",'3.機能一覧'!$L48)</f>
        <v/>
      </c>
    </row>
    <row r="49" ht="8" customHeight="1">
      <c r="A49" s="16">
        <f>IF('3.機能一覧'!A49="","",'3.機能一覧'!A49)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17">
        <f>IF($A49="","",SUMPRODUCT(($B$3:$CC$3&lt;&gt;"")*($B49:CC49="○")))</f>
        <v/>
      </c>
      <c r="CE49" s="6">
        <f>IF($A49="","",IF($CD49=0,"⚠ 未割当","OK"))</f>
        <v/>
      </c>
      <c r="CF49" s="6">
        <f>IF($A49="","",'3.機能一覧'!$L49)</f>
        <v/>
      </c>
    </row>
    <row r="50" ht="8" customHeight="1">
      <c r="A50" s="16">
        <f>IF('3.機能一覧'!A50="","",'3.機能一覧'!A50)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17">
        <f>IF($A50="","",SUMPRODUCT(($B$3:$CC$3&lt;&gt;"")*($B50:CC50="○")))</f>
        <v/>
      </c>
      <c r="CE50" s="6">
        <f>IF($A50="","",IF($CD50=0,"⚠ 未割当","OK"))</f>
        <v/>
      </c>
      <c r="CF50" s="6">
        <f>IF($A50="","",'3.機能一覧'!$L50)</f>
        <v/>
      </c>
    </row>
    <row r="51" ht="8" customHeight="1">
      <c r="A51" s="16">
        <f>IF('3.機能一覧'!A51="","",'3.機能一覧'!A51)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17">
        <f>IF($A51="","",SUMPRODUCT(($B$3:$CC$3&lt;&gt;"")*($B51:CC51="○")))</f>
        <v/>
      </c>
      <c r="CE51" s="6">
        <f>IF($A51="","",IF($CD51=0,"⚠ 未割当","OK"))</f>
        <v/>
      </c>
      <c r="CF51" s="6">
        <f>IF($A51="","",'3.機能一覧'!$L51)</f>
        <v/>
      </c>
    </row>
    <row r="52" ht="8" customHeight="1">
      <c r="A52" s="16">
        <f>IF('3.機能一覧'!A52="","",'3.機能一覧'!A52)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17">
        <f>IF($A52="","",SUMPRODUCT(($B$3:$CC$3&lt;&gt;"")*($B52:CC52="○")))</f>
        <v/>
      </c>
      <c r="CE52" s="6">
        <f>IF($A52="","",IF($CD52=0,"⚠ 未割当","OK"))</f>
        <v/>
      </c>
      <c r="CF52" s="6">
        <f>IF($A52="","",'3.機能一覧'!$L52)</f>
        <v/>
      </c>
    </row>
    <row r="53" ht="8" customHeight="1">
      <c r="A53" s="16">
        <f>IF('3.機能一覧'!A53="","",'3.機能一覧'!A53)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17">
        <f>IF($A53="","",SUMPRODUCT(($B$3:$CC$3&lt;&gt;"")*($B53:CC53="○")))</f>
        <v/>
      </c>
      <c r="CE53" s="6">
        <f>IF($A53="","",IF($CD53=0,"⚠ 未割当","OK"))</f>
        <v/>
      </c>
      <c r="CF53" s="6">
        <f>IF($A53="","",'3.機能一覧'!$L53)</f>
        <v/>
      </c>
    </row>
    <row r="54" ht="8" customHeight="1">
      <c r="A54" s="16">
        <f>IF('3.機能一覧'!A54="","",'3.機能一覧'!A54)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17">
        <f>IF($A54="","",SUMPRODUCT(($B$3:$CC$3&lt;&gt;"")*($B54:CC54="○")))</f>
        <v/>
      </c>
      <c r="CE54" s="6">
        <f>IF($A54="","",IF($CD54=0,"⚠ 未割当","OK"))</f>
        <v/>
      </c>
      <c r="CF54" s="6">
        <f>IF($A54="","",'3.機能一覧'!$L54)</f>
        <v/>
      </c>
    </row>
    <row r="55" ht="8" customHeight="1">
      <c r="A55" s="16">
        <f>IF('3.機能一覧'!A55="","",'3.機能一覧'!A55)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17">
        <f>IF($A55="","",SUMPRODUCT(($B$3:$CC$3&lt;&gt;"")*($B55:CC55="○")))</f>
        <v/>
      </c>
      <c r="CE55" s="6">
        <f>IF($A55="","",IF($CD55=0,"⚠ 未割当","OK"))</f>
        <v/>
      </c>
      <c r="CF55" s="6">
        <f>IF($A55="","",'3.機能一覧'!$L55)</f>
        <v/>
      </c>
    </row>
    <row r="56" ht="8" customHeight="1">
      <c r="A56" s="16">
        <f>IF('3.機能一覧'!A56="","",'3.機能一覧'!A56)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17">
        <f>IF($A56="","",SUMPRODUCT(($B$3:$CC$3&lt;&gt;"")*($B56:CC56="○")))</f>
        <v/>
      </c>
      <c r="CE56" s="6">
        <f>IF($A56="","",IF($CD56=0,"⚠ 未割当","OK"))</f>
        <v/>
      </c>
      <c r="CF56" s="6">
        <f>IF($A56="","",'3.機能一覧'!$L56)</f>
        <v/>
      </c>
    </row>
    <row r="57" ht="8" customHeight="1">
      <c r="A57" s="16">
        <f>IF('3.機能一覧'!A57="","",'3.機能一覧'!A57)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17">
        <f>IF($A57="","",SUMPRODUCT(($B$3:$CC$3&lt;&gt;"")*($B57:CC57="○")))</f>
        <v/>
      </c>
      <c r="CE57" s="6">
        <f>IF($A57="","",IF($CD57=0,"⚠ 未割当","OK"))</f>
        <v/>
      </c>
      <c r="CF57" s="6">
        <f>IF($A57="","",'3.機能一覧'!$L57)</f>
        <v/>
      </c>
    </row>
    <row r="58" ht="8" customHeight="1">
      <c r="A58" s="16">
        <f>IF('3.機能一覧'!A58="","",'3.機能一覧'!A58)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17">
        <f>IF($A58="","",SUMPRODUCT(($B$3:$CC$3&lt;&gt;"")*($B58:CC58="○")))</f>
        <v/>
      </c>
      <c r="CE58" s="6">
        <f>IF($A58="","",IF($CD58=0,"⚠ 未割当","OK"))</f>
        <v/>
      </c>
      <c r="CF58" s="6">
        <f>IF($A58="","",'3.機能一覧'!$L58)</f>
        <v/>
      </c>
    </row>
    <row r="59" ht="8" customHeight="1">
      <c r="A59" s="16">
        <f>IF('3.機能一覧'!A59="","",'3.機能一覧'!A59)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17">
        <f>IF($A59="","",SUMPRODUCT(($B$3:$CC$3&lt;&gt;"")*($B59:CC59="○")))</f>
        <v/>
      </c>
      <c r="CE59" s="6">
        <f>IF($A59="","",IF($CD59=0,"⚠ 未割当","OK"))</f>
        <v/>
      </c>
      <c r="CF59" s="6">
        <f>IF($A59="","",'3.機能一覧'!$L59)</f>
        <v/>
      </c>
    </row>
    <row r="60" ht="8" customHeight="1">
      <c r="A60" s="16">
        <f>IF('3.機能一覧'!A60="","",'3.機能一覧'!A60)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17">
        <f>IF($A60="","",SUMPRODUCT(($B$3:$CC$3&lt;&gt;"")*($B60:CC60="○")))</f>
        <v/>
      </c>
      <c r="CE60" s="6">
        <f>IF($A60="","",IF($CD60=0,"⚠ 未割当","OK"))</f>
        <v/>
      </c>
      <c r="CF60" s="6">
        <f>IF($A60="","",'3.機能一覧'!$L60)</f>
        <v/>
      </c>
    </row>
    <row r="61" ht="8" customHeight="1">
      <c r="A61" s="16">
        <f>IF('3.機能一覧'!A61="","",'3.機能一覧'!A61)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17">
        <f>IF($A61="","",SUMPRODUCT(($B$3:$CC$3&lt;&gt;"")*($B61:CC61="○")))</f>
        <v/>
      </c>
      <c r="CE61" s="6">
        <f>IF($A61="","",IF($CD61=0,"⚠ 未割当","OK"))</f>
        <v/>
      </c>
      <c r="CF61" s="6">
        <f>IF($A61="","",'3.機能一覧'!$L61)</f>
        <v/>
      </c>
    </row>
    <row r="62" ht="8" customHeight="1">
      <c r="A62" s="16">
        <f>IF('3.機能一覧'!A62="","",'3.機能一覧'!A62)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17">
        <f>IF($A62="","",SUMPRODUCT(($B$3:$CC$3&lt;&gt;"")*($B62:CC62="○")))</f>
        <v/>
      </c>
      <c r="CE62" s="6">
        <f>IF($A62="","",IF($CD62=0,"⚠ 未割当","OK"))</f>
        <v/>
      </c>
      <c r="CF62" s="6">
        <f>IF($A62="","",'3.機能一覧'!$L62)</f>
        <v/>
      </c>
    </row>
    <row r="63" ht="8" customHeight="1">
      <c r="A63" s="16">
        <f>IF('3.機能一覧'!A63="","",'3.機能一覧'!A63)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17">
        <f>IF($A63="","",SUMPRODUCT(($B$3:$CC$3&lt;&gt;"")*($B63:CC63="○")))</f>
        <v/>
      </c>
      <c r="CE63" s="6">
        <f>IF($A63="","",IF($CD63=0,"⚠ 未割当","OK"))</f>
        <v/>
      </c>
      <c r="CF63" s="6">
        <f>IF($A63="","",'3.機能一覧'!$L63)</f>
        <v/>
      </c>
    </row>
    <row r="64" ht="33" customHeight="1">
      <c r="A64" s="9" t="inlineStr">
        <is>
          <t>列計（各画面的機能数）</t>
        </is>
      </c>
      <c r="B64" s="17">
        <f>IF(B$3="","",SUMPRODUCT(($A$4:$A$63&lt;&gt;"")*(B$4:B$63="○")))</f>
        <v/>
      </c>
      <c r="C64" s="17">
        <f>IF(C$3="","",SUMPRODUCT(($A$4:$A$63&lt;&gt;"")*(C$4:C$63="○")))</f>
        <v/>
      </c>
      <c r="D64" s="17">
        <f>IF(D$3="","",SUMPRODUCT(($A$4:$A$63&lt;&gt;"")*(D$4:D$63="○")))</f>
        <v/>
      </c>
      <c r="E64" s="17">
        <f>IF(E$3="","",SUMPRODUCT(($A$4:$A$63&lt;&gt;"")*(E$4:E$63="○")))</f>
        <v/>
      </c>
      <c r="F64" s="17">
        <f>IF(F$3="","",SUMPRODUCT(($A$4:$A$63&lt;&gt;"")*(F$4:F$63="○")))</f>
        <v/>
      </c>
      <c r="G64" s="17">
        <f>IF(G$3="","",SUMPRODUCT(($A$4:$A$63&lt;&gt;"")*(G$4:G$63="○")))</f>
        <v/>
      </c>
      <c r="H64" s="17">
        <f>IF(H$3="","",SUMPRODUCT(($A$4:$A$63&lt;&gt;"")*(H$4:H$63="○")))</f>
        <v/>
      </c>
      <c r="I64" s="17">
        <f>IF(I$3="","",SUMPRODUCT(($A$4:$A$63&lt;&gt;"")*(I$4:I$63="○")))</f>
        <v/>
      </c>
      <c r="J64" s="17">
        <f>IF(J$3="","",SUMPRODUCT(($A$4:$A$63&lt;&gt;"")*(J$4:J$63="○")))</f>
        <v/>
      </c>
      <c r="K64" s="17">
        <f>IF(K$3="","",SUMPRODUCT(($A$4:$A$63&lt;&gt;"")*(K$4:K$63="○")))</f>
        <v/>
      </c>
      <c r="L64" s="17">
        <f>IF(L$3="","",SUMPRODUCT(($A$4:$A$63&lt;&gt;"")*(L$4:L$63="○")))</f>
        <v/>
      </c>
      <c r="M64" s="17">
        <f>IF(M$3="","",SUMPRODUCT(($A$4:$A$63&lt;&gt;"")*(M$4:M$63="○")))</f>
        <v/>
      </c>
      <c r="N64" s="17">
        <f>IF(N$3="","",SUMPRODUCT(($A$4:$A$63&lt;&gt;"")*(N$4:N$63="○")))</f>
        <v/>
      </c>
      <c r="O64" s="17">
        <f>IF(O$3="","",SUMPRODUCT(($A$4:$A$63&lt;&gt;"")*(O$4:O$63="○")))</f>
        <v/>
      </c>
      <c r="P64" s="17">
        <f>IF(P$3="","",SUMPRODUCT(($A$4:$A$63&lt;&gt;"")*(P$4:P$63="○")))</f>
        <v/>
      </c>
      <c r="Q64" s="17">
        <f>IF(Q$3="","",SUMPRODUCT(($A$4:$A$63&lt;&gt;"")*(Q$4:Q$63="○")))</f>
        <v/>
      </c>
      <c r="R64" s="17">
        <f>IF(R$3="","",SUMPRODUCT(($A$4:$A$63&lt;&gt;"")*(R$4:R$63="○")))</f>
        <v/>
      </c>
      <c r="S64" s="17">
        <f>IF(S$3="","",SUMPRODUCT(($A$4:$A$63&lt;&gt;"")*(S$4:S$63="○")))</f>
        <v/>
      </c>
      <c r="T64" s="17">
        <f>IF(T$3="","",SUMPRODUCT(($A$4:$A$63&lt;&gt;"")*(T$4:T$63="○")))</f>
        <v/>
      </c>
      <c r="U64" s="17">
        <f>IF(U$3="","",SUMPRODUCT(($A$4:$A$63&lt;&gt;"")*(U$4:U$63="○")))</f>
        <v/>
      </c>
      <c r="V64" s="17">
        <f>IF(V$3="","",SUMPRODUCT(($A$4:$A$63&lt;&gt;"")*(V$4:V$63="○")))</f>
        <v/>
      </c>
      <c r="W64" s="17">
        <f>IF(W$3="","",SUMPRODUCT(($A$4:$A$63&lt;&gt;"")*(W$4:W$63="○")))</f>
        <v/>
      </c>
      <c r="X64" s="17">
        <f>IF(X$3="","",SUMPRODUCT(($A$4:$A$63&lt;&gt;"")*(X$4:X$63="○")))</f>
        <v/>
      </c>
      <c r="Y64" s="17">
        <f>IF(Y$3="","",SUMPRODUCT(($A$4:$A$63&lt;&gt;"")*(Y$4:Y$63="○")))</f>
        <v/>
      </c>
      <c r="Z64" s="17">
        <f>IF(Z$3="","",SUMPRODUCT(($A$4:$A$63&lt;&gt;"")*(Z$4:Z$63="○")))</f>
        <v/>
      </c>
      <c r="AA64" s="17">
        <f>IF(AA$3="","",SUMPRODUCT(($A$4:$A$63&lt;&gt;"")*(AA$4:AA$63="○")))</f>
        <v/>
      </c>
      <c r="AB64" s="17">
        <f>IF(AB$3="","",SUMPRODUCT(($A$4:$A$63&lt;&gt;"")*(AB$4:AB$63="○")))</f>
        <v/>
      </c>
      <c r="AC64" s="17">
        <f>IF(AC$3="","",SUMPRODUCT(($A$4:$A$63&lt;&gt;"")*(AC$4:AC$63="○")))</f>
        <v/>
      </c>
      <c r="AD64" s="17">
        <f>IF(AD$3="","",SUMPRODUCT(($A$4:$A$63&lt;&gt;"")*(AD$4:AD$63="○")))</f>
        <v/>
      </c>
      <c r="AE64" s="17">
        <f>IF(AE$3="","",SUMPRODUCT(($A$4:$A$63&lt;&gt;"")*(AE$4:AE$63="○")))</f>
        <v/>
      </c>
      <c r="AF64" s="17">
        <f>IF(AF$3="","",SUMPRODUCT(($A$4:$A$63&lt;&gt;"")*(AF$4:AF$63="○")))</f>
        <v/>
      </c>
      <c r="AG64" s="17">
        <f>IF(AG$3="","",SUMPRODUCT(($A$4:$A$63&lt;&gt;"")*(AG$4:AG$63="○")))</f>
        <v/>
      </c>
      <c r="AH64" s="17">
        <f>IF(AH$3="","",SUMPRODUCT(($A$4:$A$63&lt;&gt;"")*(AH$4:AH$63="○")))</f>
        <v/>
      </c>
      <c r="AI64" s="17">
        <f>IF(AI$3="","",SUMPRODUCT(($A$4:$A$63&lt;&gt;"")*(AI$4:AI$63="○")))</f>
        <v/>
      </c>
      <c r="AJ64" s="17">
        <f>IF(AJ$3="","",SUMPRODUCT(($A$4:$A$63&lt;&gt;"")*(AJ$4:AJ$63="○")))</f>
        <v/>
      </c>
      <c r="AK64" s="17">
        <f>IF(AK$3="","",SUMPRODUCT(($A$4:$A$63&lt;&gt;"")*(AK$4:AK$63="○")))</f>
        <v/>
      </c>
      <c r="AL64" s="17">
        <f>IF(AL$3="","",SUMPRODUCT(($A$4:$A$63&lt;&gt;"")*(AL$4:AL$63="○")))</f>
        <v/>
      </c>
      <c r="AM64" s="17">
        <f>IF(AM$3="","",SUMPRODUCT(($A$4:$A$63&lt;&gt;"")*(AM$4:AM$63="○")))</f>
        <v/>
      </c>
      <c r="AN64" s="17">
        <f>IF(AN$3="","",SUMPRODUCT(($A$4:$A$63&lt;&gt;"")*(AN$4:AN$63="○")))</f>
        <v/>
      </c>
      <c r="AO64" s="17">
        <f>IF(AO$3="","",SUMPRODUCT(($A$4:$A$63&lt;&gt;"")*(AO$4:AO$63="○")))</f>
        <v/>
      </c>
      <c r="AP64" s="17">
        <f>IF(AP$3="","",SUMPRODUCT(($A$4:$A$63&lt;&gt;"")*(AP$4:AP$63="○")))</f>
        <v/>
      </c>
      <c r="AQ64" s="17">
        <f>IF(AQ$3="","",SUMPRODUCT(($A$4:$A$63&lt;&gt;"")*(AQ$4:AQ$63="○")))</f>
        <v/>
      </c>
      <c r="AR64" s="17">
        <f>IF(AR$3="","",SUMPRODUCT(($A$4:$A$63&lt;&gt;"")*(AR$4:AR$63="○")))</f>
        <v/>
      </c>
      <c r="AS64" s="17">
        <f>IF(AS$3="","",SUMPRODUCT(($A$4:$A$63&lt;&gt;"")*(AS$4:AS$63="○")))</f>
        <v/>
      </c>
      <c r="AT64" s="17">
        <f>IF(AT$3="","",SUMPRODUCT(($A$4:$A$63&lt;&gt;"")*(AT$4:AT$63="○")))</f>
        <v/>
      </c>
      <c r="AU64" s="17">
        <f>IF(AU$3="","",SUMPRODUCT(($A$4:$A$63&lt;&gt;"")*(AU$4:AU$63="○")))</f>
        <v/>
      </c>
      <c r="AV64" s="17">
        <f>IF(AV$3="","",SUMPRODUCT(($A$4:$A$63&lt;&gt;"")*(AV$4:AV$63="○")))</f>
        <v/>
      </c>
      <c r="AW64" s="17">
        <f>IF(AW$3="","",SUMPRODUCT(($A$4:$A$63&lt;&gt;"")*(AW$4:AW$63="○")))</f>
        <v/>
      </c>
      <c r="AX64" s="17">
        <f>IF(AX$3="","",SUMPRODUCT(($A$4:$A$63&lt;&gt;"")*(AX$4:AX$63="○")))</f>
        <v/>
      </c>
      <c r="AY64" s="17">
        <f>IF(AY$3="","",SUMPRODUCT(($A$4:$A$63&lt;&gt;"")*(AY$4:AY$63="○")))</f>
        <v/>
      </c>
      <c r="AZ64" s="17">
        <f>IF(AZ$3="","",SUMPRODUCT(($A$4:$A$63&lt;&gt;"")*(AZ$4:AZ$63="○")))</f>
        <v/>
      </c>
      <c r="BA64" s="17">
        <f>IF(BA$3="","",SUMPRODUCT(($A$4:$A$63&lt;&gt;"")*(BA$4:BA$63="○")))</f>
        <v/>
      </c>
      <c r="BB64" s="17">
        <f>IF(BB$3="","",SUMPRODUCT(($A$4:$A$63&lt;&gt;"")*(BB$4:BB$63="○")))</f>
        <v/>
      </c>
      <c r="BC64" s="17">
        <f>IF(BC$3="","",SUMPRODUCT(($A$4:$A$63&lt;&gt;"")*(BC$4:BC$63="○")))</f>
        <v/>
      </c>
      <c r="BD64" s="17">
        <f>IF(BD$3="","",SUMPRODUCT(($A$4:$A$63&lt;&gt;"")*(BD$4:BD$63="○")))</f>
        <v/>
      </c>
      <c r="BE64" s="17">
        <f>IF(BE$3="","",SUMPRODUCT(($A$4:$A$63&lt;&gt;"")*(BE$4:BE$63="○")))</f>
        <v/>
      </c>
      <c r="BF64" s="17">
        <f>IF(BF$3="","",SUMPRODUCT(($A$4:$A$63&lt;&gt;"")*(BF$4:BF$63="○")))</f>
        <v/>
      </c>
      <c r="BG64" s="17">
        <f>IF(BG$3="","",SUMPRODUCT(($A$4:$A$63&lt;&gt;"")*(BG$4:BG$63="○")))</f>
        <v/>
      </c>
      <c r="BH64" s="17">
        <f>IF(BH$3="","",SUMPRODUCT(($A$4:$A$63&lt;&gt;"")*(BH$4:BH$63="○")))</f>
        <v/>
      </c>
      <c r="BI64" s="17">
        <f>IF(BI$3="","",SUMPRODUCT(($A$4:$A$63&lt;&gt;"")*(BI$4:BI$63="○")))</f>
        <v/>
      </c>
      <c r="BJ64" s="17">
        <f>IF(BJ$3="","",SUMPRODUCT(($A$4:$A$63&lt;&gt;"")*(BJ$4:BJ$63="○")))</f>
        <v/>
      </c>
      <c r="BK64" s="17">
        <f>IF(BK$3="","",SUMPRODUCT(($A$4:$A$63&lt;&gt;"")*(BK$4:BK$63="○")))</f>
        <v/>
      </c>
      <c r="BL64" s="17">
        <f>IF(BL$3="","",SUMPRODUCT(($A$4:$A$63&lt;&gt;"")*(BL$4:BL$63="○")))</f>
        <v/>
      </c>
      <c r="BM64" s="17">
        <f>IF(BM$3="","",SUMPRODUCT(($A$4:$A$63&lt;&gt;"")*(BM$4:BM$63="○")))</f>
        <v/>
      </c>
      <c r="BN64" s="17">
        <f>IF(BN$3="","",SUMPRODUCT(($A$4:$A$63&lt;&gt;"")*(BN$4:BN$63="○")))</f>
        <v/>
      </c>
      <c r="BO64" s="17">
        <f>IF(BO$3="","",SUMPRODUCT(($A$4:$A$63&lt;&gt;"")*(BO$4:BO$63="○")))</f>
        <v/>
      </c>
      <c r="BP64" s="17">
        <f>IF(BP$3="","",SUMPRODUCT(($A$4:$A$63&lt;&gt;"")*(BP$4:BP$63="○")))</f>
        <v/>
      </c>
      <c r="BQ64" s="17">
        <f>IF(BQ$3="","",SUMPRODUCT(($A$4:$A$63&lt;&gt;"")*(BQ$4:BQ$63="○")))</f>
        <v/>
      </c>
      <c r="BR64" s="17">
        <f>IF(BR$3="","",SUMPRODUCT(($A$4:$A$63&lt;&gt;"")*(BR$4:BR$63="○")))</f>
        <v/>
      </c>
      <c r="BS64" s="17">
        <f>IF(BS$3="","",SUMPRODUCT(($A$4:$A$63&lt;&gt;"")*(BS$4:BS$63="○")))</f>
        <v/>
      </c>
      <c r="BT64" s="17">
        <f>IF(BT$3="","",SUMPRODUCT(($A$4:$A$63&lt;&gt;"")*(BT$4:BT$63="○")))</f>
        <v/>
      </c>
      <c r="BU64" s="17">
        <f>IF(BU$3="","",SUMPRODUCT(($A$4:$A$63&lt;&gt;"")*(BU$4:BU$63="○")))</f>
        <v/>
      </c>
      <c r="BV64" s="17">
        <f>IF(BV$3="","",SUMPRODUCT(($A$4:$A$63&lt;&gt;"")*(BV$4:BV$63="○")))</f>
        <v/>
      </c>
      <c r="BW64" s="17">
        <f>IF(BW$3="","",SUMPRODUCT(($A$4:$A$63&lt;&gt;"")*(BW$4:BW$63="○")))</f>
        <v/>
      </c>
      <c r="BX64" s="17">
        <f>IF(BX$3="","",SUMPRODUCT(($A$4:$A$63&lt;&gt;"")*(BX$4:BX$63="○")))</f>
        <v/>
      </c>
      <c r="BY64" s="17">
        <f>IF(BY$3="","",SUMPRODUCT(($A$4:$A$63&lt;&gt;"")*(BY$4:BY$63="○")))</f>
        <v/>
      </c>
      <c r="BZ64" s="17">
        <f>IF(BZ$3="","",SUMPRODUCT(($A$4:$A$63&lt;&gt;"")*(BZ$4:BZ$63="○")))</f>
        <v/>
      </c>
      <c r="CA64" s="17">
        <f>IF(CA$3="","",SUMPRODUCT(($A$4:$A$63&lt;&gt;"")*(CA$4:CA$63="○")))</f>
        <v/>
      </c>
      <c r="CB64" s="17">
        <f>IF(CB$3="","",SUMPRODUCT(($A$4:$A$63&lt;&gt;"")*(CB$4:CB$63="○")))</f>
        <v/>
      </c>
      <c r="CC64" s="17">
        <f>IF(CC$3="","",SUMPRODUCT(($A$4:$A$63&lt;&gt;"")*(CC$4:CC$63="○")))</f>
        <v/>
      </c>
      <c r="CD64" s="18">
        <f>SUM(CD4:CD63)</f>
        <v/>
      </c>
    </row>
  </sheetData>
  <mergeCells count="2">
    <mergeCell ref="A1:C1"/>
    <mergeCell ref="A2:C2"/>
  </mergeCells>
  <conditionalFormatting sqref="CF4">
    <cfRule type="expression" priority="60" dxfId="1">
      <formula>$CE4="⚠ 未割当"</formula>
    </cfRule>
  </conditionalFormatting>
  <conditionalFormatting sqref="CF5">
    <cfRule type="expression" priority="59" dxfId="1">
      <formula>$CE5="⚠ 未割当"</formula>
    </cfRule>
  </conditionalFormatting>
  <conditionalFormatting sqref="CF6">
    <cfRule type="expression" priority="58" dxfId="1">
      <formula>$CE6="⚠ 未割当"</formula>
    </cfRule>
  </conditionalFormatting>
  <conditionalFormatting sqref="CF7">
    <cfRule type="expression" priority="57" dxfId="1">
      <formula>$CE7="⚠ 未割当"</formula>
    </cfRule>
  </conditionalFormatting>
  <conditionalFormatting sqref="CF8">
    <cfRule type="expression" priority="56" dxfId="1">
      <formula>$CE8="⚠ 未割当"</formula>
    </cfRule>
  </conditionalFormatting>
  <conditionalFormatting sqref="CF9">
    <cfRule type="expression" priority="55" dxfId="1">
      <formula>$CE9="⚠ 未割当"</formula>
    </cfRule>
  </conditionalFormatting>
  <conditionalFormatting sqref="CF10">
    <cfRule type="expression" priority="54" dxfId="1">
      <formula>$CE10="⚠ 未割当"</formula>
    </cfRule>
  </conditionalFormatting>
  <conditionalFormatting sqref="CF11">
    <cfRule type="expression" priority="53" dxfId="1">
      <formula>$CE11="⚠ 未割当"</formula>
    </cfRule>
  </conditionalFormatting>
  <conditionalFormatting sqref="CF12">
    <cfRule type="expression" priority="52" dxfId="1">
      <formula>$CE12="⚠ 未割当"</formula>
    </cfRule>
  </conditionalFormatting>
  <conditionalFormatting sqref="CF13">
    <cfRule type="expression" priority="51" dxfId="1">
      <formula>$CE13="⚠ 未割当"</formula>
    </cfRule>
  </conditionalFormatting>
  <conditionalFormatting sqref="CF14">
    <cfRule type="expression" priority="50" dxfId="1">
      <formula>$CE14="⚠ 未割当"</formula>
    </cfRule>
  </conditionalFormatting>
  <conditionalFormatting sqref="CF15">
    <cfRule type="expression" priority="49" dxfId="1">
      <formula>$CE15="⚠ 未割当"</formula>
    </cfRule>
  </conditionalFormatting>
  <conditionalFormatting sqref="CF16">
    <cfRule type="expression" priority="48" dxfId="1">
      <formula>$CE16="⚠ 未割当"</formula>
    </cfRule>
  </conditionalFormatting>
  <conditionalFormatting sqref="CF17">
    <cfRule type="expression" priority="47" dxfId="1">
      <formula>$CE17="⚠ 未割当"</formula>
    </cfRule>
  </conditionalFormatting>
  <conditionalFormatting sqref="CF18">
    <cfRule type="expression" priority="46" dxfId="1">
      <formula>$CE18="⚠ 未割当"</formula>
    </cfRule>
  </conditionalFormatting>
  <conditionalFormatting sqref="CF19">
    <cfRule type="expression" priority="45" dxfId="1">
      <formula>$CE19="⚠ 未割当"</formula>
    </cfRule>
  </conditionalFormatting>
  <conditionalFormatting sqref="CF20">
    <cfRule type="expression" priority="44" dxfId="1">
      <formula>$CE20="⚠ 未割当"</formula>
    </cfRule>
  </conditionalFormatting>
  <conditionalFormatting sqref="CF21">
    <cfRule type="expression" priority="43" dxfId="1">
      <formula>$CE21="⚠ 未割当"</formula>
    </cfRule>
  </conditionalFormatting>
  <conditionalFormatting sqref="CF22">
    <cfRule type="expression" priority="42" dxfId="1">
      <formula>$CE22="⚠ 未割当"</formula>
    </cfRule>
  </conditionalFormatting>
  <conditionalFormatting sqref="CF23">
    <cfRule type="expression" priority="41" dxfId="1">
      <formula>$CE23="⚠ 未割当"</formula>
    </cfRule>
  </conditionalFormatting>
  <conditionalFormatting sqref="CF24">
    <cfRule type="expression" priority="40" dxfId="1">
      <formula>$CE24="⚠ 未割当"</formula>
    </cfRule>
  </conditionalFormatting>
  <conditionalFormatting sqref="CF25">
    <cfRule type="expression" priority="39" dxfId="1">
      <formula>$CE25="⚠ 未割当"</formula>
    </cfRule>
  </conditionalFormatting>
  <conditionalFormatting sqref="CF26">
    <cfRule type="expression" priority="38" dxfId="1">
      <formula>$CE26="⚠ 未割当"</formula>
    </cfRule>
  </conditionalFormatting>
  <conditionalFormatting sqref="CF27">
    <cfRule type="expression" priority="37" dxfId="1">
      <formula>$CE27="⚠ 未割当"</formula>
    </cfRule>
  </conditionalFormatting>
  <conditionalFormatting sqref="CF28">
    <cfRule type="expression" priority="36" dxfId="1">
      <formula>$CE28="⚠ 未割当"</formula>
    </cfRule>
  </conditionalFormatting>
  <conditionalFormatting sqref="CF29">
    <cfRule type="expression" priority="35" dxfId="1">
      <formula>$CE29="⚠ 未割当"</formula>
    </cfRule>
  </conditionalFormatting>
  <conditionalFormatting sqref="CF30">
    <cfRule type="expression" priority="34" dxfId="1">
      <formula>$CE30="⚠ 未割当"</formula>
    </cfRule>
  </conditionalFormatting>
  <conditionalFormatting sqref="CF31">
    <cfRule type="expression" priority="33" dxfId="1">
      <formula>$CE31="⚠ 未割当"</formula>
    </cfRule>
  </conditionalFormatting>
  <conditionalFormatting sqref="CF32">
    <cfRule type="expression" priority="32" dxfId="1">
      <formula>$CE32="⚠ 未割当"</formula>
    </cfRule>
  </conditionalFormatting>
  <conditionalFormatting sqref="CF33">
    <cfRule type="expression" priority="31" dxfId="1">
      <formula>$CE33="⚠ 未割当"</formula>
    </cfRule>
  </conditionalFormatting>
  <conditionalFormatting sqref="CF34">
    <cfRule type="expression" priority="30" dxfId="1">
      <formula>$CE34="⚠ 未割当"</formula>
    </cfRule>
  </conditionalFormatting>
  <conditionalFormatting sqref="CF35">
    <cfRule type="expression" priority="29" dxfId="1">
      <formula>$CE35="⚠ 未割当"</formula>
    </cfRule>
  </conditionalFormatting>
  <conditionalFormatting sqref="CF36">
    <cfRule type="expression" priority="28" dxfId="1">
      <formula>$CE36="⚠ 未割当"</formula>
    </cfRule>
  </conditionalFormatting>
  <conditionalFormatting sqref="CF37">
    <cfRule type="expression" priority="27" dxfId="1">
      <formula>$CE37="⚠ 未割当"</formula>
    </cfRule>
  </conditionalFormatting>
  <conditionalFormatting sqref="CF38">
    <cfRule type="expression" priority="26" dxfId="1">
      <formula>$CE38="⚠ 未割当"</formula>
    </cfRule>
  </conditionalFormatting>
  <conditionalFormatting sqref="CF39">
    <cfRule type="expression" priority="25" dxfId="1">
      <formula>$CE39="⚠ 未割当"</formula>
    </cfRule>
  </conditionalFormatting>
  <conditionalFormatting sqref="CF40">
    <cfRule type="expression" priority="24" dxfId="1">
      <formula>$CE40="⚠ 未割当"</formula>
    </cfRule>
  </conditionalFormatting>
  <conditionalFormatting sqref="CF41">
    <cfRule type="expression" priority="23" dxfId="1">
      <formula>$CE41="⚠ 未割当"</formula>
    </cfRule>
  </conditionalFormatting>
  <conditionalFormatting sqref="CF42">
    <cfRule type="expression" priority="22" dxfId="1">
      <formula>$CE42="⚠ 未割当"</formula>
    </cfRule>
  </conditionalFormatting>
  <conditionalFormatting sqref="CF43">
    <cfRule type="expression" priority="21" dxfId="1">
      <formula>$CE43="⚠ 未割当"</formula>
    </cfRule>
  </conditionalFormatting>
  <conditionalFormatting sqref="CF44">
    <cfRule type="expression" priority="20" dxfId="1">
      <formula>$CE44="⚠ 未割当"</formula>
    </cfRule>
  </conditionalFormatting>
  <conditionalFormatting sqref="CF45">
    <cfRule type="expression" priority="19" dxfId="1">
      <formula>$CE45="⚠ 未割当"</formula>
    </cfRule>
  </conditionalFormatting>
  <conditionalFormatting sqref="CF46">
    <cfRule type="expression" priority="18" dxfId="1">
      <formula>$CE46="⚠ 未割当"</formula>
    </cfRule>
  </conditionalFormatting>
  <conditionalFormatting sqref="CF47">
    <cfRule type="expression" priority="17" dxfId="1">
      <formula>$CE47="⚠ 未割当"</formula>
    </cfRule>
  </conditionalFormatting>
  <conditionalFormatting sqref="CF48">
    <cfRule type="expression" priority="16" dxfId="1">
      <formula>$CE48="⚠ 未割当"</formula>
    </cfRule>
  </conditionalFormatting>
  <conditionalFormatting sqref="CF49">
    <cfRule type="expression" priority="15" dxfId="1">
      <formula>$CE49="⚠ 未割当"</formula>
    </cfRule>
  </conditionalFormatting>
  <conditionalFormatting sqref="CF50">
    <cfRule type="expression" priority="14" dxfId="1">
      <formula>$CE50="⚠ 未割当"</formula>
    </cfRule>
  </conditionalFormatting>
  <conditionalFormatting sqref="CF51">
    <cfRule type="expression" priority="13" dxfId="1">
      <formula>$CE51="⚠ 未割当"</formula>
    </cfRule>
  </conditionalFormatting>
  <conditionalFormatting sqref="CF52">
    <cfRule type="expression" priority="12" dxfId="1">
      <formula>$CE52="⚠ 未割当"</formula>
    </cfRule>
  </conditionalFormatting>
  <conditionalFormatting sqref="CF53">
    <cfRule type="expression" priority="11" dxfId="1">
      <formula>$CE53="⚠ 未割当"</formula>
    </cfRule>
  </conditionalFormatting>
  <conditionalFormatting sqref="CF54">
    <cfRule type="expression" priority="10" dxfId="1">
      <formula>$CE54="⚠ 未割当"</formula>
    </cfRule>
  </conditionalFormatting>
  <conditionalFormatting sqref="CF55">
    <cfRule type="expression" priority="9" dxfId="1">
      <formula>$CE55="⚠ 未割当"</formula>
    </cfRule>
  </conditionalFormatting>
  <conditionalFormatting sqref="CF56">
    <cfRule type="expression" priority="8" dxfId="1">
      <formula>$CE56="⚠ 未割当"</formula>
    </cfRule>
  </conditionalFormatting>
  <conditionalFormatting sqref="CF57">
    <cfRule type="expression" priority="7" dxfId="1">
      <formula>$CE57="⚠ 未割当"</formula>
    </cfRule>
  </conditionalFormatting>
  <conditionalFormatting sqref="CF58">
    <cfRule type="expression" priority="6" dxfId="1">
      <formula>$CE58="⚠ 未割当"</formula>
    </cfRule>
  </conditionalFormatting>
  <conditionalFormatting sqref="CF59">
    <cfRule type="expression" priority="5" dxfId="1">
      <formula>$CE59="⚠ 未割当"</formula>
    </cfRule>
  </conditionalFormatting>
  <conditionalFormatting sqref="CF60">
    <cfRule type="expression" priority="4" dxfId="1">
      <formula>$CE60="⚠ 未割当"</formula>
    </cfRule>
  </conditionalFormatting>
  <conditionalFormatting sqref="CF61">
    <cfRule type="expression" priority="3" dxfId="1">
      <formula>$CE61="⚠ 未割当"</formula>
    </cfRule>
  </conditionalFormatting>
  <conditionalFormatting sqref="CF62">
    <cfRule type="expression" priority="2" dxfId="1">
      <formula>$CE62="⚠ 未割当"</formula>
    </cfRule>
  </conditionalFormatting>
  <conditionalFormatting sqref="CF63">
    <cfRule type="expression" priority="1" dxfId="1">
      <formula>$CE63="⚠ 未割当"</formula>
    </cfRule>
  </conditionalFormatting>
  <conditionalFormatting sqref="A4:CE63">
    <cfRule type="expression" priority="62" dxfId="1">
      <formula>$CE4="⚠ 未割当"</formula>
    </cfRule>
  </conditionalFormatting>
  <conditionalFormatting sqref="B4:CC63">
    <cfRule type="expression" priority="61" dxfId="2">
      <formula>B4="○"</formula>
    </cfRule>
  </conditionalFormatting>
  <dataValidations count="1">
    <dataValidation sqref="B4:CC63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1"/>
</worksheet>
</file>

<file path=xl/worksheets/sheet17.xml><?xml version="1.0" encoding="utf-8"?>
<worksheet xmlns="http://schemas.openxmlformats.org/spreadsheetml/2006/main">
  <sheetPr>
    <tabColor rgb="FF375623"/>
    <outlinePr summaryBelow="1" summaryRight="1"/>
    <pageSetUpPr/>
  </sheetPr>
  <dimension ref="A1:G16"/>
  <sheetViews>
    <sheetView workbookViewId="0">
      <selection activeCell="D47" sqref="D47"/>
    </sheetView>
  </sheetViews>
  <sheetFormatPr baseColWidth="8" defaultColWidth="9" defaultRowHeight="13.5"/>
  <cols>
    <col width="4" customWidth="1" min="1" max="1"/>
    <col width="30" customWidth="1" min="2" max="2"/>
    <col width="14" customWidth="1" min="3" max="4"/>
    <col width="12" customWidth="1" min="5" max="5"/>
    <col width="60" customWidth="1" min="6" max="6"/>
    <col width="58" customWidth="1" min="7" max="7"/>
  </cols>
  <sheetData>
    <row r="1" ht="26" customHeight="1">
      <c r="A1" s="1" t="inlineStr">
        <is>
          <t>カバレッジ・サマリー（缺口检查看板）</t>
        </is>
      </c>
    </row>
    <row r="2" ht="22" customHeight="1">
      <c r="A2" s="2" t="inlineStr">
        <is>
          <t>本页只读，全部由公式自动统计。目标：所有「未割当数」为 0，カバレッジ率 100%。</t>
        </is>
      </c>
    </row>
    <row r="4" ht="28" customHeight="1">
      <c r="B4" s="3" t="inlineStr">
        <is>
          <t>检查项</t>
        </is>
      </c>
      <c r="C4" s="3" t="inlineStr">
        <is>
          <t>対象総数</t>
        </is>
      </c>
      <c r="D4" s="3" t="inlineStr">
        <is>
          <t>未割当数</t>
        </is>
      </c>
      <c r="E4" s="3" t="inlineStr">
        <is>
          <t>カバレッジ率</t>
        </is>
      </c>
      <c r="F4" s="3" t="inlineStr">
        <is>
          <t>判定</t>
        </is>
      </c>
      <c r="G4" s="3" t="inlineStr">
        <is>
          <t>未割当时的处置</t>
        </is>
      </c>
    </row>
    <row r="5" ht="32" customHeight="1">
      <c r="B5" s="4" t="inlineStr">
        <is>
          <t>要件 → 機能（需求有没有人承接）</t>
        </is>
      </c>
      <c r="C5" s="5">
        <f>COUNTA('2.要件一覧'!$A$4:$A$63)</f>
        <v/>
      </c>
      <c r="D5" s="6">
        <f>SUMPRODUCT(('2.要件一覧'!$A$4:$A$63&lt;&gt;"")*('2.要件一覧'!$I$4:$I$63="⚠ 未割当"))</f>
        <v/>
      </c>
      <c r="E5" s="30">
        <f>IF($C5=0,"-",($C5-$D5)/$C5)</f>
        <v/>
      </c>
      <c r="F5" s="6">
        <f>IF($C5=0,"-",IF($D5=0,"OK","⚠ 要対応"))</f>
        <v/>
      </c>
      <c r="G5" s="8" t="inlineStr">
        <is>
          <t>补机能，或把该要件改成 Won't 并让客户签字确认</t>
        </is>
      </c>
    </row>
    <row r="6" ht="32" customHeight="1">
      <c r="B6" s="4" t="inlineStr">
        <is>
          <t>機能 → 要件（机能有没有需求来源）</t>
        </is>
      </c>
      <c r="C6" s="5">
        <f>COUNTA('3.機能一覧'!$A$4:$A$63)</f>
        <v/>
      </c>
      <c r="D6" s="6">
        <f>SUMPRODUCT(('3.機能一覧'!$A$4:$A$63&lt;&gt;"")*('3.機能一覧'!$H$4:$H$63=0))</f>
        <v/>
      </c>
      <c r="E6" s="30">
        <f>IF($C6=0,"-",($C6-$D6)/$C6)</f>
        <v/>
      </c>
      <c r="F6" s="6">
        <f>IF($C6=0,"-",IF($D6=0,"OK","⚠ 要対応"))</f>
        <v/>
      </c>
      <c r="G6" s="8" t="inlineStr">
        <is>
          <t>追回对应要件；追不回的机能多半是范围蔓延，评估后砍掉</t>
        </is>
      </c>
    </row>
    <row r="7" ht="32" customHeight="1">
      <c r="B7" s="4" t="inlineStr">
        <is>
          <t>機能 → 画面（机能有没有载体）</t>
        </is>
      </c>
      <c r="C7" s="5">
        <f>COUNTA('3.機能一覧'!$A$4:$A$63)</f>
        <v/>
      </c>
      <c r="D7" s="6">
        <f>SUMPRODUCT(('3.機能一覧'!$A$4:$A$63&lt;&gt;"")*('3.機能一覧'!$I$4:$I$63=0))</f>
        <v/>
      </c>
      <c r="E7" s="30">
        <f>IF($C7=0,"-",($C7-$D7)/$C7)</f>
        <v/>
      </c>
      <c r="F7" s="6">
        <f>IF($C7=0,"-",IF($D7=0,"OK","⚠ 要対応"))</f>
        <v/>
      </c>
      <c r="G7" s="8" t="inlineStr">
        <is>
          <t>批处理/后台机能可视为正常，其余需补画面设计</t>
        </is>
      </c>
    </row>
    <row r="8" ht="32" customHeight="1">
      <c r="B8" s="4" t="inlineStr">
        <is>
          <t>画面 → 機能（画面有没有机能支撑）</t>
        </is>
      </c>
      <c r="C8" s="5">
        <f>COUNTA('4.画面一覧'!$A$4:$A$83)</f>
        <v/>
      </c>
      <c r="D8" s="6">
        <f>SUMPRODUCT(('4.画面一覧'!$A$4:$A$83&lt;&gt;"")*('4.画面一覧'!$G$4:$G$83=0))</f>
        <v/>
      </c>
      <c r="E8" s="30">
        <f>IF($C8=0,"-",($C8-$D8)/$C8)</f>
        <v/>
      </c>
      <c r="F8" s="6">
        <f>IF($C8=0,"-",IF($D8=0,"OK","⚠ 要対応"))</f>
        <v/>
      </c>
      <c r="G8" s="8" t="inlineStr">
        <is>
          <t>孤儿画面：补机能，或确认该画面本不该存在</t>
        </is>
      </c>
    </row>
    <row r="10" ht="30" customHeight="1">
      <c r="B10" s="9" t="inlineStr">
        <is>
          <t>総合判定</t>
        </is>
      </c>
      <c r="C10" s="10">
        <f>IF(SUM($D$5:$D$8)=0,"✅ 全て割当済み（缺口 0 件）","⚠ 未割当 "&amp;SUM($D$5:$D$8)&amp;" 件あり — 去 2〜4 各表看橙色行")</f>
        <v/>
      </c>
      <c r="D10" s="11" t="n"/>
      <c r="E10" s="11" t="n"/>
      <c r="F10" s="11" t="n"/>
      <c r="G10" s="12" t="n"/>
    </row>
    <row r="12" ht="15" customHeight="1">
      <c r="B12" s="13" t="inlineStr">
        <is>
          <t>统计参考</t>
        </is>
      </c>
    </row>
    <row r="13" ht="22" customHeight="1">
      <c r="B13" s="4" t="inlineStr">
        <is>
          <t>要件×機能 の打点数</t>
        </is>
      </c>
      <c r="C13" s="14">
        <f>'14.要件×機能行列'!$BJ$64</f>
        <v/>
      </c>
    </row>
    <row r="14" ht="22" customHeight="1">
      <c r="B14" s="4" t="inlineStr">
        <is>
          <t>機能×画面 の打点数</t>
        </is>
      </c>
      <c r="C14" s="14">
        <f>'15.機能×画面行列'!$CD$64</f>
        <v/>
      </c>
    </row>
    <row r="15" ht="22" customHeight="1">
      <c r="B15" s="4" t="inlineStr">
        <is>
          <t>1 要件あたり平均機能数</t>
        </is>
      </c>
      <c r="C15" s="14">
        <f>IFERROR('14.要件×機能行列'!$BJ$64/$C$5,"-")</f>
        <v/>
      </c>
    </row>
    <row r="16" ht="22" customHeight="1">
      <c r="B16" s="4" t="inlineStr">
        <is>
          <t>1 機能あたり平均画面数</t>
        </is>
      </c>
      <c r="C16" s="14">
        <f>IFERROR('15.機能×画面行列'!$CD$64/$C$6,"-")</f>
        <v/>
      </c>
    </row>
  </sheetData>
  <mergeCells count="3">
    <mergeCell ref="A2:F2"/>
    <mergeCell ref="C10:G10"/>
    <mergeCell ref="A1:F1"/>
  </mergeCells>
  <conditionalFormatting sqref="F5:F8">
    <cfRule type="expression" priority="2" dxfId="0">
      <formula>$F5="OK"</formula>
    </cfRule>
  </conditionalFormatting>
  <conditionalFormatting sqref="D5:F8">
    <cfRule type="expression" priority="1" dxfId="1">
      <formula>$D5&gt;0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2026-08-31T12:20:00Z</dcterms:created>
  <dcterms:modified xmlns:dcterms="http://purl.org/dc/terms/" xmlns:xsi="http://www.w3.org/2001/XMLSchema-instance" xsi:type="dcterms:W3CDTF">2026-09-03T01:35:47Z</dcterms:modified>
  <cp:lastModifiedBy>朝歌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{"Label":"1","ContentProducer":"001191440300708461136T1WFUO","ProduceID":"a81d8548875169f33271afbe6236fdaa-sbLm","ReservedCode1":"{\"Type\":\" TC260PG\",\"Version\":1,\"Bindings\":[{\"Type\":\"soft\",\"AlgID\":\"sm3\",\"Value\":\"8fede7bb757ed925dda2821d2bfe8287197c18ee42027b53f5f7e4bf2a775797\"},{\"Type\":\"hash\",\"AlgID\":\"sm3\",\"Value\":\"78a1ad236f107ca5fc976e6dc185940f77af6a2f34bfbd9a86b9b18111b1bfab\"}],\"PubSD\":[{\"Type\":\"DS\",\"AlgID\":\"sm2\",\"TBSData\":{\"Type\":\"Binding\",\"BType\":\"hash\"},\"Signature\":\"304402204208f76ef65f48cf71cfd6296b12852050483b85411aabe5a052ae72a0bec2e4022052febfce65c4c4f0d558a1ce51e5818667f2e6c57335511c2dab39fdf8f85b5a\"},{\"Type\":\"PubKey\",\"AlgID\":\"sm2\",\"KeyValue\":\"0407f79b28a17a752b3aae4305c98b48978213832729a2571850b1310b2bc9fe8fee039ccf25ebfeac27502414d9fcef792d777183c98893d226171c2f7a3289a2\"}],\"Extension\":{\"Timestamp\":1788178957,\"KeyVersion\":\"v1-TxLeOmf7bqU223\"}}","ContentPropagator":"001191440300708461136T1WFUO","PropagateID":"a81d8548875169f33271afbe6236fdaa-sbLm","ReservedCode2":"{\"Type\":\" TC260PG\",\"Version\":1,\"Bindings\":[{\"Type\":\"soft\",\"AlgID\":\"sm3\",\"Value\":\"8fede7bb757ed925dda2821d2bfe8287197c18ee42027b53f5f7e4bf2a775797\"},{\"Type\":\"hash\",\"AlgID\":\"sm3\",\"Value\":\"78a1ad236f107ca5fc976e6dc185940f77af6a2f34bfbd9a86b9b18111b1bfab\"}],\"PubSD\":[{\"Type\":\"DS\",\"AlgID\":\"sm2\",\"TBSData\":{\"Type\":\"Binding\",\"BType\":\"hash\"},\"Signature\":\"304502205d131244ae4391a34a39d5710070714a56f91469cdb88ac0200a6e83230209880221008b6ffb29db72bc356895118e07dc085820f92deeff4bf15286bc0f40e47da3cd\"},{\"Type\":\"PubKey\",\"AlgID\":\"sm2\",\"KeyValue\":\"0407f79b28a17a752b3aae4305c98b48978213832729a2571850b1310b2bc9fe8fee039ccf25ebfeac27502414d9fcef792d777183c98893d226171c2f7a3289a2\"}],\"Extension\":{\"Timestamp\":1788178957,\"KeyVersion\":\"v1-TxLeOmf7bqU223\"}}"}</vt:lpwstr>
  </property>
  <property name="ICV" fmtid="{D5CDD505-2E9C-101B-9397-08002B2CF9AE}" pid="3">
    <vt:lpwstr xmlns:vt="http://schemas.openxmlformats.org/officeDocument/2006/docPropsVTypes">BB4FADD6A1AF4D3FAC6149CD917631EA_12</vt:lpwstr>
  </property>
  <property name="KSOProductBuildVer" fmtid="{D5CDD505-2E9C-101B-9397-08002B2CF9AE}" pid="4">
    <vt:lpwstr xmlns:vt="http://schemas.openxmlformats.org/officeDocument/2006/docPropsVTypes">2052-12.1.0.28043</vt:lpwstr>
  </property>
  <property name="CalculationRule" fmtid="{D5CDD505-2E9C-101B-9397-08002B2CF9AE}" pid="5">
    <vt:i4 xmlns:vt="http://schemas.openxmlformats.org/officeDocument/2006/docPropsVTypes">0</vt:i4>
  </property>
</Properties>
</file>