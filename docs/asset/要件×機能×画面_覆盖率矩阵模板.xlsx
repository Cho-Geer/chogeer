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ZCodeProject\salesforce\chogeer\docs\asset\"/>
    </mc:Choice>
  </mc:AlternateContent>
  <bookViews>
    <workbookView windowHeight="17655"/>
  </bookViews>
  <sheets>
    <sheet name="引用文档一览" sheetId="1" r:id="rId1"/>
    <sheet name="1.使い方" sheetId="2" r:id="rId2"/>
    <sheet name="2.要件一覧" sheetId="3" r:id="rId3"/>
    <sheet name="3.機能一覧" sheetId="4" r:id="rId4"/>
    <sheet name="4.画面一覧" sheetId="5" r:id="rId5"/>
    <sheet name="5.BIZ一覧" sheetId="6" r:id="rId6"/>
    <sheet name="6.ルール一覧" sheetId="7" r:id="rId7"/>
    <sheet name="7.用語集" sheetId="8" r:id="rId8"/>
    <sheet name="8.IF・CD・CF・A一覧" sheetId="9" r:id="rId9"/>
    <sheet name="9.MV一覧" sheetId="10" r:id="rId10"/>
    <sheet name="10.TC一覧" sheetId="11" r:id="rId11"/>
    <sheet name="11.画面項目・MSG" sheetId="12" r:id="rId12"/>
    <sheet name="12.課題・決策・CHK内部ID" sheetId="13" r:id="rId13"/>
    <sheet name="13.文書ID台帳" sheetId="14" r:id="rId14"/>
    <sheet name="14.要件×機能行列" sheetId="15" r:id="rId15"/>
    <sheet name="15.機能×画面行列" sheetId="16" r:id="rId16"/>
    <sheet name="16.サマリー" sheetId="17" r:id="rId17"/>
  </sheets>
  <definedNames>
    <definedName name="_xlnm._FilterDatabase" localSheetId="2" hidden="1">'2.要件一覧'!$A$3:$I$63</definedName>
    <definedName name="_xlnm._FilterDatabase" localSheetId="3" hidden="1">'3.機能一覧'!$A$3:$J$63</definedName>
    <definedName name="_xlnm._FilterDatabase" localSheetId="4" hidden="1">'4.画面一覧'!$A$3:$H$83</definedName>
    <definedName name="_xlnm.Print_Titles" localSheetId="14">'14.要件×機能行列'!$3:$3,'14.要件×機能行列'!$A:$A</definedName>
    <definedName name="_xlnm.Print_Titles" localSheetId="15">'15.機能×画面行列'!$3:$3,'15.機能×画面行列'!$A:$A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<sst xmlns="http://schemas.openxmlformats.org/spreadsheetml/2006/main" count="2304" uniqueCount="1359">
  <si>
    <t>引用文档一览</t>
  </si>
  <si>
    <t>本ブックが参照した语料文書の一覧。パスは docs/asset 相対。ID の权威源は IDR-01（ID 台账）。</t>
  </si>
  <si>
    <t>文書ID</t>
  </si>
  <si>
    <t>文書名（ファイル）</t>
  </si>
  <si>
    <t>パス（docs/asset 相対）</t>
  </si>
  <si>
    <t>本ブックでの参照先</t>
  </si>
  <si>
    <t>備考</t>
  </si>
  <si>
    <t>IDR-01</t>
  </si>
  <si>
    <t>interview-portfolio-id-registry.md</t>
  </si>
  <si>
    <t>requirement-definition-draft/interview-portfolio-id-registry.md</t>
  </si>
  <si>
    <t>全体（ID 系列の权威源・实施状态の判定根拠）</t>
  </si>
  <si>
    <t>V1.1</t>
  </si>
  <si>
    <t>RD-01</t>
  </si>
  <si>
    <t>01_要件一覧.md</t>
  </si>
  <si>
    <t>requirement-definition/01_要件一覧.md</t>
  </si>
  <si>
    <t>2.要件一覧・5.BIZ一覧（J 列 COUNTIF 键）・14.要件×機能行列（○ 出典）</t>
  </si>
  <si>
    <t>RD-02</t>
  </si>
  <si>
    <t>02_非機能要件一覧.md</t>
  </si>
  <si>
    <t>requirement-definition/02_非機能要件一覧.md</t>
  </si>
  <si>
    <t>2.要件一覧（NFR 行）</t>
  </si>
  <si>
    <t>RD-03</t>
  </si>
  <si>
    <t>03_業務一覧.md</t>
  </si>
  <si>
    <t>requirement-definition/03_業務一覧.md</t>
  </si>
  <si>
    <t>5.BIZ一覧</t>
  </si>
  <si>
    <t>RD-05</t>
  </si>
  <si>
    <t>05_業務ルール一覧.md</t>
  </si>
  <si>
    <t>requirement-definition/05_業務ルール一覧.md</t>
  </si>
  <si>
    <t>6.ルール一覧</t>
  </si>
  <si>
    <t>RD-06</t>
  </si>
  <si>
    <t>06_用語集.md</t>
  </si>
  <si>
    <t>requirement-definition/06_用語集.md</t>
  </si>
  <si>
    <t>7.用語集</t>
  </si>
  <si>
    <t>RD-08</t>
  </si>
  <si>
    <t>08_ToBe業務モデルと現状課題.md</t>
  </si>
  <si>
    <t>requirement-definition/08_ToBe業務モデルと現状課題.md</t>
  </si>
  <si>
    <t>12.課題…（ISS）</t>
  </si>
  <si>
    <t>BD-01</t>
  </si>
  <si>
    <t>system-architecture.md</t>
  </si>
  <si>
    <t>basic-design/system-architecture.md</t>
  </si>
  <si>
    <t>8.IF・CD・CF・A一覧（A1〜A4）</t>
  </si>
  <si>
    <t>BD-02</t>
  </si>
  <si>
    <t>function-list.md</t>
  </si>
  <si>
    <t>basic-design/function-list.md</t>
  </si>
  <si>
    <t>3.機能一覧・15.機能×画面行列</t>
  </si>
  <si>
    <t>BD-04</t>
  </si>
  <si>
    <t>screens.md</t>
  </si>
  <si>
    <t>basic-design/screens.md</t>
  </si>
  <si>
    <t>4.画面一覧・15.機能×画面行列</t>
  </si>
  <si>
    <t>BD-05</t>
  </si>
  <si>
    <t>screen-items.md</t>
  </si>
  <si>
    <t>basic-design/screen-items.md</t>
  </si>
  <si>
    <t>11.画面項目・MSG</t>
  </si>
  <si>
    <t>BD-08</t>
  </si>
  <si>
    <t>code-list.md</t>
  </si>
  <si>
    <t>basic-design/code-list.md</t>
  </si>
  <si>
    <t>8.IF・CD・CF・A一覧（CD）</t>
  </si>
  <si>
    <t>BD-09</t>
  </si>
  <si>
    <t>interface-design.md</t>
  </si>
  <si>
    <t>basic-design/interface-design.md</t>
  </si>
  <si>
    <t>8.IF・CD・CF・A一覧（IF）</t>
  </si>
  <si>
    <t>MV-03 検証日の一次記録は PPT-01/IDR-01</t>
  </si>
  <si>
    <t>BD-11</t>
  </si>
  <si>
    <t>common-design.md</t>
  </si>
  <si>
    <t>basic-design/common-design.md</t>
  </si>
  <si>
    <t>8.IF・CD・CF・A一覧（CF）</t>
  </si>
  <si>
    <t>DD-04</t>
  </si>
  <si>
    <t>unit-test-spec.md</t>
  </si>
  <si>
    <t>detailed-design/unit-test-spec.md</t>
  </si>
  <si>
    <t>10.TC一覧</t>
  </si>
  <si>
    <t>—（無 ID）</t>
  </si>
  <si>
    <t>experience-site-mvp-validation.md</t>
  </si>
  <si>
    <t>9.MV一覧・16.サマリー判定口径</t>
  </si>
  <si>
    <t>interview-portfolio-tech-decisions.md</t>
  </si>
  <si>
    <t>12.課題…（G/ADR）</t>
  </si>
  <si>
    <t>CHK-01</t>
  </si>
  <si>
    <t>p0-2/interview-portfolio-p02-checklist.md</t>
  </si>
  <si>
    <t>12.課題…（CHK 内部 ID）</t>
  </si>
  <si>
    <t>PPT-01</t>
  </si>
  <si>
    <t>interview-portfolio-phase-table.md</t>
  </si>
  <si>
    <t>12.課題…（P0-n 工程）</t>
  </si>
  <si>
    <t>—</t>
  </si>
  <si>
    <t>要件×機能×画面_覆盖率矩阵模板.xlsx（雛形）</t>
  </si>
  <si>
    <t>../要件×機能×画面_覆盖率矩阵模板.xlsx（docs/ 直下）</t>
  </si>
  <si>
    <t>全体（書式・式パターンの母体）</t>
  </si>
  <si>
    <t>要件 × 機能 × 画面　カバレッジ行列テンプレート</t>
  </si>
  <si>
    <t>用途：要件定义 / 基本设计阶段，检查「有没有漏配」。橙色底 = 未割当（有漏），绿色底 = OK。</t>
  </si>
  <si>
    <t>步骤</t>
  </si>
  <si>
    <t>做什么</t>
  </si>
  <si>
    <t>说明</t>
  </si>
  <si>
    <t>STEP 1</t>
  </si>
  <si>
    <t>确认「引用文档一览」</t>
  </si>
  <si>
    <t>「引用文档一览」登记本ブック全数据的出典文書清单，与 ID 台账（IDR-01）对应。新建任何 ID 之前，先在此确认定义源是否已登记。</t>
  </si>
  <si>
    <t>STEP 2</t>
  </si>
  <si>
    <t>填写「2.要件一覧」</t>
  </si>
  <si>
    <t>逐条登记要件，给每个要件一个唯一 ID。分类、优先级、验收条件建议必填——验收条件缺失会导致后期无法判定是否做完。J 列（対応業務 ID）是「5.BIZ一覧」対応要件数 COUNTIF 的集計键，漏填会静默计 0；K 列实施状态按语料进度维护。</t>
  </si>
  <si>
    <t>STEP 3</t>
  </si>
  <si>
    <t>填写「3.機能一覧」</t>
  </si>
  <si>
    <t>把要件拆解为系统机能。担当ロール 决定后面的权限设计，新規/改修 决定影响范围。</t>
  </si>
  <si>
    <t>STEP 4</t>
  </si>
  <si>
    <t>填写「4.画面一覧」</t>
  </si>
  <si>
    <t>登记所有画面，含弹窗、确认页、错误页。漏登记画面是测试阶段缺陷的高发原因。</t>
  </si>
  <si>
    <t>STEP 5</t>
  </si>
  <si>
    <t>填写一览系台账「5.BIZ一覧」〜「13.文書ID台帳」</t>
  </si>
  <si>
    <t>填写一览系台账：5.BIZ一覧・6.ルール一覧・7.用語集・8.IF・CD・CF・A一覧・9.MV一覧・10.TC一覧・11.画面項目・MSG・12.課題・決策・CHK内部ID・13.文書ID台帳，各一览均含实施状态列。10.TC一覧 E 列（対応MV）是「9.MV一覧」対応TC数 COUNTIF 的集計键，漏填会静默计 0。</t>
  </si>
  <si>
    <t>STEP 6</t>
  </si>
  <si>
    <t>在「14.要件×機能行列」打○</t>
  </si>
  <si>
    <t>行=要件，列=機能。有对应关系的交叉格填「○」（下拉选择）。右侧「合計」「判定」自动计算。</t>
  </si>
  <si>
    <t>STEP 7</t>
  </si>
  <si>
    <t>在「15.機能×画面行列」打○</t>
  </si>
  <si>
    <t>行=機能，列=画面。逻辑同上。</t>
  </si>
  <si>
    <t>STEP 8</t>
  </si>
  <si>
    <t>看「16.サマリー」查漏</t>
  </si>
  <si>
    <t>缺口数量与覆盖率自动统计。目标：所有未割当数为 0。</t>
  </si>
  <si>
    <t>判定规则</t>
  </si>
  <si>
    <t>⚠ 未割当（要件→機能）</t>
  </si>
  <si>
    <t>某个要件没有任何机能承接 → 这个需求做不出来，必须补机能或明确 Won't 并让客户签字。</t>
  </si>
  <si>
    <t>⚠ 要件未紐付（機能）</t>
  </si>
  <si>
    <t>某个机能追不回任何要件 → 典型的「镀金」或范围蔓延，要么追回要件，要么砍掉。</t>
  </si>
  <si>
    <t>⚠ 画面未紐付（機能）</t>
  </si>
  <si>
    <t>某个机能没有画面 → 可能是批处理/后台机能（合理），也可能是画面漏设计。</t>
  </si>
  <si>
    <t>⚠ 未割当（画面）</t>
  </si>
  <si>
    <t>某个画面没有任何机能支撑 → 孤儿画面，多半是漏了机能或该画面本不该存在。</t>
  </si>
  <si>
    <t>多重割当</t>
  </si>
  <si>
    <t>一个要件对应多个机能、或机能跨多个画面，都是正常的。矩阵的价值恰恰是让多对多关系显式化。</t>
  </si>
  <si>
    <t>使用注意</t>
  </si>
  <si>
    <t>・扩充行数：本模板容量为 要件 60 行 / 機能 60 行 / 画面 80 行。如需扩充，插入行后把上一行的公式向下复制即可，行列表的 ID 引用会自动跟随。</t>
  </si>
  <si>
    <t>・删除示例数据：2〜4 表与 14/15 行列中的灰色斜体行为示例（受注管理系统），直接整行清除开始使用。</t>
  </si>
  <si>
    <t>・○ 的输入：交叉格已设置下拉，只能填「○」或留空，避免不同人写 ×／●／1 导致统计失效。</t>
  </si>
  <si>
    <t>・颜色约定：蓝底=已建立对应；橙底=未割当（需要处置）；绿底=判定 OK。</t>
  </si>
  <si>
    <t>【2026-09-01 台账整合版・更新说明（出典：requirement-definition-draft/interview-portfolio-id-registry.md・IDR-01 V1.1）】</t>
  </si>
  <si>
    <t>・本ブックは chogeer 語料の実データを投入した作業版。元テンプレートの書式・式パターンを維持し、出典は各表 A2 注記の語料文書。</t>
  </si>
  <si>
    <t>・容量拡張：要件一覧 50→60 行（REQ 38＋NFR 14＝52 行分）。14.要件×機能行列の合計行は 54→64 行へ移設し、3.機能一覧 H 列と 16.サマリーの参照範囲も追従更新済み。</t>
  </si>
  <si>
    <t>・NFR 行の判定：非機能要件の引受主体は設計文書（BD-10）のため、対応機能 0 でも「⚠ 未割当」でなく「設計文書承接」と表示。2.要件一覧 I 列（I42:I55）と 14.行列 BK 列（BK42:BK55）の両方に変体式を適用済み。</t>
  </si>
  <si>
    <t>・16.サマリー D5 は「⚠ 未割当」文字列件数を数える式に変更（NFR を欠落扱いしないため）。残る ⚠ は REQ-032（retention＝機能一覧外の運用機能）・REQ-035/036（不実施＝Won't）の 3 件で、いずれも意図済みの欠落。</t>
  </si>
  <si>
    <t>・15.機能×画面行列で対応画面 0 の機能（F-03・F-15・F-20・F-25・F-30〜33）はバックグラウンド/システム機能または対象外（テンプレート A2 注記の正常系）。F-21 は S-04 の入口ボタンとして計上。D6 の 1 件は F-15（対象外・要件化外）による</t>
  </si>
  <si>
    <t>・一览系シート 5〜13 が ID 台账の全系列を収容：BIZ（5）・RULE（6）・TERM（7）・IF/CD/CF/A（8）・MV（9）・TC（10）・S-xx-yy/MSG（11）・ISS/G/ADR/P0-n/CHK 内部（12）・文書 ID（13）。</t>
  </si>
  <si>
    <t>・COUNTIF 集計キー：2.要件一覧 J 列（対応業務 ID）→5.BIZ一覧・10.TC一覧 E 列（対応MV）→9.MV一覧。集計はワイルドカード一致（※ID は完全形で記載）。</t>
  </si>
  <si>
    <t>・条件付き書式（行ハイライト）は容量拡張行 54〜63 に適用外。NFR 行は ⚠ を出さない（設計文書承接表示）ためハイライト不在は実害なし。</t>
  </si>
  <si>
    <t>・DV プルダウン語彙を語料の実値に拡張（種別にログイン/提示・優先度に Won't/—（対象外）・状態に設計承接）し、接尾辞付き自由文（例「未着手（P0-3 計画）」）をエラーにしないよう showErrorMessage=False に設定。</t>
  </si>
  <si>
    <t>【2026-09-01 構成変更】①一览系 9 シートを 4.画面一覧 の直後に移動し 5〜13 に再採番（タブ色は 4.画面一覧 に一致）②行列 2 枚を 14/15 に再採番しサマリー直前に配置③サマリーは 16.サマリー に改名（1〜16 完整序列）④各一览に实施状态列を追加（语料の進捗と一致）⑤先頭に引用文档一览を追加⑥跨表式の参照名を全部追従更新。⑦2.要件一覧/3.機能一覧/4.画面一覧 にも正規化済み实施状态列（✅/🔵/⚪/⛔ 記号视图）を追加。</t>
  </si>
  <si>
    <t>【2026-09-01 補全・更新说明】①步骤表を STEP 1〜8 に拡張：STEP 1 引用文档一览（IDR-01 対応）・STEP 5 一览系台账 5〜13（集計键提示：2.要件一覧 J 列→5.BIZ一覧・10.TC一覧 E 列→9.MV一覧）②使用注意を修正：容量 要件 60 行・行列番号 14/15</t>
  </si>
  <si>
    <t>要件一覧（機能要件一覧）</t>
  </si>
  <si>
    <t>每行为一条要件。A 列的 ID 是后面所有文档的追溯源头，编号一经验证不再回收。灰色斜体行为示例数据，可整行删除。出典：RD-01（REQ 行）・RD-02（NFR 行）</t>
  </si>
  <si>
    <t>要件 ID</t>
  </si>
  <si>
    <t>要件名 / 概要</t>
  </si>
  <si>
    <t>分类</t>
  </si>
  <si>
    <t>来源（部门・访谈・法令）</t>
  </si>
  <si>
    <t>优先级</t>
  </si>
  <si>
    <t>验收条件（可测量）</t>
  </si>
  <si>
    <t>状态</t>
  </si>
  <si>
    <t>対応機能数</t>
  </si>
  <si>
    <t>判定</t>
  </si>
  <si>
    <t>対応業務 ID（出典 RD-01・追記列）</t>
  </si>
  <si>
    <t>实施状态</t>
  </si>
  <si>
    <t>REQ-001</t>
  </si>
  <si>
    <t>ユーザー登録：電話番号＋6桁認証コード＋氏名／メールで顧客アカウントを登録する</t>
  </si>
  <si>
    <t>機能</t>
  </si>
  <si>
    <t>事業要件（予約受付のオンライン化）</t>
  </si>
  <si>
    <t>Must</t>
  </si>
  <si>
    <t>電話番号＋認証コード＋氏名で登録が完了し、重複電話番号では登録が拒否されること（F-02）</t>
  </si>
  <si>
    <t>実装済</t>
  </si>
  <si>
    <t>BIZ-01</t>
  </si>
  <si>
    <t>✅ 実装済</t>
  </si>
  <si>
    <t>REQ-002</t>
  </si>
  <si>
    <t>認証ログイン：電話番号＋6桁認証コードでログインし、JWT（access/refresh/csrf）を HttpOnly Cookie で発行する</t>
  </si>
  <si>
    <t>事業要件（アカウント認証）</t>
  </si>
  <si>
    <t>正しい認証コードでログイン成功し HttpOnly Cookie が発行される。誤コードでは失敗すること（F-01）</t>
  </si>
  <si>
    <t>BIZ-02</t>
  </si>
  <si>
    <t>REQ-003</t>
  </si>
  <si>
    <t>トークン更新・ログアウト・検証：401 時の自動更新、ログアウト時トークン無効化（Redis ブラックリスト）</t>
  </si>
  <si>
    <t>事業要件（セッション維持）</t>
  </si>
  <si>
    <t>更新・ログアウト・検証の各操作が成功し、ログアウト後のトークンは無効であること（F-03）</t>
  </si>
  <si>
    <t>REQ-004</t>
  </si>
  <si>
    <t>サービスカタログ照会：稼働中サービスの一覧を閲覧する</t>
  </si>
  <si>
    <t>事業要件（予約対象の選択）</t>
  </si>
  <si>
    <t>GET /v1/services で稼働中サービス一覧が返ること（F-04）</t>
  </si>
  <si>
    <t>BIZ-03</t>
  </si>
  <si>
    <t>REQ-005</t>
  </si>
  <si>
    <t>予約可能時間枠照会：指定日の空き時間枠を照会する（時間枠容量は 1）</t>
  </si>
  <si>
    <t>事業要件（空き状況の提示）</t>
  </si>
  <si>
    <t>指定日の予約済み時間枠が空き一覧に含まれないこと（F-05、RULE-06）</t>
  </si>
  <si>
    <t>REQ-006</t>
  </si>
  <si>
    <t>予約作成：サービス・時間枠を指定し予約（status=PENDING）を作成する</t>
  </si>
  <si>
    <t>事業要件（予約受付）</t>
  </si>
  <si>
    <t>作成成功時に Appointment 1 件が生成される。満席・重複・無効時間枠では拒否されること（F-06、RULE-05/06）</t>
  </si>
  <si>
    <t>REQ-007</t>
  </si>
  <si>
    <t>本人予約照会：自分の予約リスト・詳細を照会する（他人の予約は参照不可）</t>
  </si>
  <si>
    <t>事業要件（予約確認）</t>
  </si>
  <si>
    <t>顧客は自分の予約のみ取得でき、他者の予約 ID 指定では取得できないこと（F-07）</t>
  </si>
  <si>
    <t>BIZ-05</t>
  </si>
  <si>
    <t>REQ-008</t>
  </si>
  <si>
    <t>予約変更・キャンセル・削除：予約内容の変更、キャンセル（取消確認メール非同期送信）、ハード削除</t>
  </si>
  <si>
    <t>事業要件（予約の変更・取消）</t>
  </si>
  <si>
    <t>PENDING/CONFIRMED からの変更・取消が成功し、CANCELLED/COMPLETED からの取消は拒否されること（F-08、RULE-05/07）</t>
  </si>
  <si>
    <t>BIZ-04</t>
  </si>
  <si>
    <t>REQ-009</t>
  </si>
  <si>
    <t>通知：サイト内通知一覧・既読・未読数および WebSocket による通知配信</t>
  </si>
  <si>
    <t>事業要件（予約変更の通知）</t>
  </si>
  <si>
    <t>Could</t>
  </si>
  <si>
    <t>通知一覧取得・既読化が成功し、WebSocket で通知が受信できること（F-09）</t>
  </si>
  <si>
    <t>BIZ-06</t>
  </si>
  <si>
    <t>REQ-010</t>
  </si>
  <si>
    <t>管理者予約管理：全量リスト・日次別・統計サマリによる予約管理</t>
  </si>
  <si>
    <t>事業要件（予約運用）</t>
  </si>
  <si>
    <t>ADMIN が全量・日次別・統計の各照会を取得できること。顧客ロールでは拒否されること（F-10）</t>
  </si>
  <si>
    <t>BIZ-07</t>
  </si>
  <si>
    <t>REQ-011</t>
  </si>
  <si>
    <t>サービス管理：サービスの CRUD と稼働・停止</t>
  </si>
  <si>
    <t>事業要件（メニュー管理）</t>
  </si>
  <si>
    <t>ADMIN がサービス登録・変更・停止を行え、停止サービスが顧客一覧から消えること（F-11）</t>
  </si>
  <si>
    <t>BIZ-08</t>
  </si>
  <si>
    <t>REQ-012</t>
  </si>
  <si>
    <t>時間枠管理：時間枠の CRUD と稼働・停止</t>
  </si>
  <si>
    <t>事業要件（枠管理）</t>
  </si>
  <si>
    <t>ADMIN が時間枠を登録・停止でき、停止枠が空き照会から除外されること（F-13）</t>
  </si>
  <si>
    <t>REQ-013</t>
  </si>
  <si>
    <t>ユーザー管理：ユーザー作成・照会・状態変更（セッション取消）・ロール変更（セッション維持）・削除</t>
  </si>
  <si>
    <t>事業要件（利用者統制）</t>
  </si>
  <si>
    <t>ADMIN が状態変更（セッション取消を伴う）とロール変更を行えること（F-12、RULE-17）</t>
  </si>
  <si>
    <t>BIZ-09</t>
  </si>
  <si>
    <t>REQ-014</t>
  </si>
  <si>
    <t>アクセス制御：フロント三層（middleware／AuthGuard・routePermissions／コンポーネント判定）＋バックエンド JwtAuthGuard・AdminGuard・RolesGuard による最終裁定</t>
  </si>
  <si>
    <t>セキュリティ要件（権限統制）</t>
  </si>
  <si>
    <t>顧客 JWT で管理系 API が 403 となること。フロント判定はセキュリティ境界ではなくサーバ側が最終裁定であること</t>
  </si>
  <si>
    <t>BIZ-02, BIZ-07, BIZ-08, BIZ-09</t>
  </si>
  <si>
    <t>REQ-015</t>
  </si>
  <si>
    <t>アカウント状態異常時提示：無効化・降格時に提示ページへ誘導する（?reason=ROLE_CHANGED_FROM_ADMIN）</t>
  </si>
  <si>
    <t>事業要件（ユーザーへの説明）</t>
  </si>
  <si>
    <t>Should</t>
  </si>
  <si>
    <t>無効化・降格されたユーザーの次回アクセスが提示画面 S-05 に到達すること（F-14）</t>
  </si>
  <si>
    <t>REQ-016</t>
  </si>
  <si>
    <t>EC サイト外部ユーザー独立ログイン：管理者が Salesforce 外部ユーザー認証情報で Experience Site に独立ログインする（SSO ではない）</t>
  </si>
  <si>
    <t>連携要件（Salesforce SE 作品集・P0-1 完了分）</t>
  </si>
  <si>
    <t>外部ユーザーが /02/login からログインでき、LoginHistory に外部ユーザー種別の記録が残ること。Booking の PW/JWT/Cookie は Salesforce に送信されないこと（F-22、S-10、MV-03、RULE-18）</t>
  </si>
  <si>
    <t>検証済（ログイン部分のみ・閲覧範囲限定検証は未実施）</t>
  </si>
  <si>
    <t>BIZ-11</t>
  </si>
  <si>
    <t>✅ 検証済（P0-1・ログイン部分）</t>
  </si>
  <si>
    <t>REQ-017</t>
  </si>
  <si>
    <t>Salesforce 管理ワークベンチ入口：Booking 管理コンソールに入口ボタンを表示し、Site ログインページへ遷移する（遷移＝SSO ではない）</t>
  </si>
  <si>
    <t>連携要件（P0-4 計画）</t>
  </si>
  <si>
    <t>role=ADMIN かつ静的マッピング active の場合のみボタンが有効であり、押下で Site URL へ遷移すること（F-21、RULE-16、MV-02）</t>
  </si>
  <si>
    <t>未着手（P0-4 計画）</t>
  </si>
  <si>
    <t>BIZ-10</t>
  </si>
  <si>
    <t>🔵 P0-4 計画</t>
  </si>
  <si>
    <t>REQ-018</t>
  </si>
  <si>
    <t>予約投影：予約正本の変更（作成・変更・キャンセル—顧客自身の取消を含む）を Booking__c へ冪等投影する</t>
  </si>
  <si>
    <t>連携要件（P0-3 計画）</t>
  </si>
  <si>
    <t>正本変更後に Booking__c が External ID で 1 件作成／更新され、Status__c・CurrentVersion__c が正本と一致する。同一イベント再送ではレコードが増えず、旧バージョンは拒否されること（F-20、RULE-01/04/08、MV-04/05/06）</t>
  </si>
  <si>
    <t>未着手（P0-3 計画）</t>
  </si>
  <si>
    <t>BIZ-12</t>
  </si>
  <si>
    <t>🔵 P0-3 計画</t>
  </si>
  <si>
    <t>REQ-019</t>
  </si>
  <si>
    <t>投影対象の PII 除外：顧客氏名・電話・メール・WeChat・備考は投影ホワイトリスト外とする</t>
  </si>
  <si>
    <t>データ</t>
  </si>
  <si>
    <t>セキュリティ要件（PII 除外原則）</t>
  </si>
  <si>
    <t>Booking__c の全項目に氏名・電話・メール・WeChat・備考が現れず、投影ペイロードにも含まれないこと（ホワイトリスト凍結・MV-04 併せて確認）</t>
  </si>
  <si>
    <t>未着手（P0-2 契約凍結事項）</t>
  </si>
  <si>
    <t>🔵 P0-2 決定事項</t>
  </si>
  <si>
    <t>REQ-020</t>
  </si>
  <si>
    <t>投影リスト表示：Site 内 LWC で自 Account の予約投影を閲覧する（行級限定・読取専用）</t>
  </si>
  <si>
    <t>外部ユーザーは自 Account に紐づく投影のみ閲覧でき、他 Account の投影は取得できないこと（F-23、S-11、MV-07、RULE-13）</t>
  </si>
  <si>
    <t>BIZ-13</t>
  </si>
  <si>
    <t>REQ-021</t>
  </si>
  <si>
    <t>キャンセルコマンド受理：Site から CANCEL_BOOKING を送信し、Booking_Command__c を生成して commandId／QUEUED を即時返却する</t>
  </si>
  <si>
    <t>連携要件（P0-3/P0-4 計画）</t>
  </si>
  <si>
    <t>送信直後に commandId と QUEUED が返ること。コマンドレコードに commandId・expectedVersion・要求者識別が保存されること（F-24）</t>
  </si>
  <si>
    <t>未着手（P0-3/P0-4 計画）</t>
  </si>
  <si>
    <t>BIZ-14</t>
  </si>
  <si>
    <t>🔵 P0-3/P0-4 計画</t>
  </si>
  <si>
    <t>REQ-022</t>
  </si>
  <si>
    <t>コマンドバックグラウンド実行：Queueable が Named Credential で Booking 統合端点を呼び出し、Booking が同一トランザクションで正本を CANCELLED に更新する</t>
  </si>
  <si>
    <t>合法コマンドで正本が CANCELLED・version+1 となり、200＋canonicalVersion＋resultCode が返ること（F-25、RULE-12/14、MV-08）</t>
  </si>
  <si>
    <t>REQ-023</t>
  </si>
  <si>
    <t>コマンド冪等性：同一 commandId の再到達では初回保存結果を返し、副作用を繰り返さない</t>
  </si>
  <si>
    <t>同一 commandId 再送で取消が再実行されず、初回と同一の応答が返ること（F-25、RULE-03、MV-08 重複口径）</t>
  </si>
  <si>
    <t>REQ-024</t>
  </si>
  <si>
    <t>バージョンゲート：投影は incomingVersion &lt;= CurrentVersion__c を拒否、コマンドは旧 expectedVersion を 409 とする</t>
  </si>
  <si>
    <t>旧バージョンの投影送信で拒否応答が返り、Booking__c が更新されないこと。旧 expectedVersion のコマンドで 409＋currentVersion が返ること（F-20/F-25/F-26、RULE-01/02、MV-05/09）</t>
  </si>
  <si>
    <t>BIZ-12, BIZ-14</t>
  </si>
  <si>
    <t>REQ-025</t>
  </si>
  <si>
    <t>結果書き戻し：コマンド成功後、バージョンゲート付きで canonical result を Booking__c に書き戻す</t>
  </si>
  <si>
    <t>書き戻しは incomingVersion が現行より高い場合のみ Booking__c を更新すること（F-26、MV-08）</t>
  </si>
  <si>
    <t>REQ-026</t>
  </si>
  <si>
    <t>静的操作者マッピング：salesforceUserId ↔ bookingUserId の事前登録レコード（active）で操作者をサーバ側確定する（ブラウザ申告 ID 不採用）</t>
  </si>
  <si>
    <t>制約</t>
  </si>
  <si>
    <t>セキュリティ要件（操作者特定）</t>
  </si>
  <si>
    <t>マッピング active＋現在の Booking ADMIN/ACTIVE 判定を満たす呼出のみ処理され、満たさない呼出は拒否されること（F-21/F-25、RULE-12）</t>
  </si>
  <si>
    <t>BIZ-10, BIZ-14</t>
  </si>
  <si>
    <t>REQ-027</t>
  </si>
  <si>
    <t>409/503 エラー区分：409＝業務競合（リトライしない）、429/503/timeout＝一時的障害（限定回数リトライ）</t>
  </si>
  <si>
    <t>409 受信時はリトライせず CONFLICT となること。429/503/timeout 受信時は attemptCount が増え、上限内で自動リトライされること（F-25、RULE-09、MV-09/10）</t>
  </si>
  <si>
    <t>BIZ-14, BIZ-15</t>
  </si>
  <si>
    <t>REQ-028</t>
  </si>
  <si>
    <t>手動 Retry：FAILED／ERROR のコマンド・投影について、同一 commandId／eventId で再実行できる</t>
  </si>
  <si>
    <t>運用要件（障害復旧）</t>
  </si>
  <si>
    <t>保留済みコマンドを原 commandId のまま再実行でき、重複副作用が発生しないこと（F-25、RULE-10）</t>
  </si>
  <si>
    <t>BIZ-15</t>
  </si>
  <si>
    <t>REQ-029</t>
  </si>
  <si>
    <t>サービス間認証：Booking→SF は OAuth 2.0 JWT Bearer（Connected App）、SF→Booking は Named Credential＋Integration Guard（secret の鍵バージョン・audience・scope・時刻偏差）</t>
  </si>
  <si>
    <t>セキュリティ要件（システム間認証）</t>
  </si>
  <si>
    <t>誤 audience／scope／旧 key の呼出が 401/403 で拒否され、予約・コマンド・投影状態が一切変化しないこと（A2/A3 境界、MV-11）</t>
  </si>
  <si>
    <t>REQ-030</t>
  </si>
  <si>
    <t>Site 行級アクセス制御：Booking__c／Booking_Command__c は External OWD=Private＋Sharing Set（Account 隔離）＋CRUD/FLS 最小権限</t>
  </si>
  <si>
    <t>セキュリティ要件（最小権限）</t>
  </si>
  <si>
    <t>外部ユーザーが他 Account の投影・コマンドを照会・更新できないこと（with sharing・Sharing Set、MV-07）</t>
  </si>
  <si>
    <t>未着手（P0-2/P0-4 計画）</t>
  </si>
  <si>
    <t>BIZ-13, BIZ-14</t>
  </si>
  <si>
    <t>🔵 P0-2/P0-4 計画</t>
  </si>
  <si>
    <t>REQ-031</t>
  </si>
  <si>
    <t>連携監査トレース：CorrelationId・LastError を Booking__c と Booking_Command__c の双方に、AttemptCount・HttpStatus・NextAttemptAt を Booking_Command__c に記録する</t>
  </si>
  <si>
    <t>運用要件（問題追跡）</t>
  </si>
  <si>
    <t>各コマンドに CorrelationId が付与され、失敗時に LastError・HttpStatus が確認できること（F-25、erd.md のフィールド配置に準拠）</t>
  </si>
  <si>
    <t>未着手（P0-2/P0-3 計画）</t>
  </si>
  <si>
    <t>BIZ-12, BIZ-14, BIZ-15</t>
  </si>
  <si>
    <t>🔵 P0-2/P0-3 計画</t>
  </si>
  <si>
    <t>REQ-032</t>
  </si>
  <si>
    <t>データ保持：CANCELLED/COMPLETED の予約データを 30 日経過後にハードデリートする</t>
  </si>
  <si>
    <t>運用</t>
  </si>
  <si>
    <t>運用要件（データ保持ポリシー）</t>
  </si>
  <si>
    <t>保持期限経過データが削除され、期限内データが残存すること（retention モジュール）</t>
  </si>
  <si>
    <t>BIZ-16</t>
  </si>
  <si>
    <t>REQ-033</t>
  </si>
  <si>
    <t>投影レコード保持方針：投影（Booking__c）は正本クリーンアップの対象外とし、削除済み予約への遅延コマンドは 404/409 でフォールバック</t>
  </si>
  <si>
    <t>運用要件（保持と投影の整合）</t>
  </si>
  <si>
    <t>正本クリーンアップ後に Booking__c が消えないこと。削除済み予約へのコマンドが 404/409 で判定可能に終わること（G7 決定事項）</t>
  </si>
  <si>
    <t>未着手（P0-2 決定事項）</t>
  </si>
  <si>
    <t>BIZ-12, BIZ-16</t>
  </si>
  <si>
    <t>REQ-034</t>
  </si>
  <si>
    <t>SSO／JIT／自己登録／自動ライセンスプールの不実施</t>
  </si>
  <si>
    <t>範囲決定（明確にしない事項）</t>
  </si>
  <si>
    <t>Won't</t>
  </si>
  <si>
    <t>該当機能が本 MVP に存在しないこと。サイト SelfReg=false であること（F-30）</t>
  </si>
  <si>
    <t>却下（対象外・今回実施せず）</t>
  </si>
  <si>
    <t>⛔ 不実施（Won't）</t>
  </si>
  <si>
    <t>REQ-035</t>
  </si>
  <si>
    <t>Salesforce 内部ユーザー／System Administrator による連携の不実施</t>
  </si>
  <si>
    <t>連携で SF 内部ユーザーを追加・利用しないこと。外部ユーザー（外部ライセンス）のみ使用すること</t>
  </si>
  <si>
    <t>REQ-036</t>
  </si>
  <si>
    <t>全項目自由双方向同期・改期・添付ファイル連携の不実施</t>
  </si>
  <si>
    <t>SF 側で編集可能な canonical 項目が存在しないこと（Admin_Note__c は SF ローカル・P1 での表示）。改期・添付のコマンド種別が存在しないこと</t>
  </si>
  <si>
    <t>REQ-037</t>
  </si>
  <si>
    <t>Outbox／Worker／DLQ／周期照合・指標告警の不実施（P1 持ち越し）</t>
  </si>
  <si>
    <t>範囲決定（P1 計画）</t>
  </si>
  <si>
    <t>P0 は直接呼出＋有限リトライであること。信頼性配信の本番級機構は存在しないこと</t>
  </si>
  <si>
    <t>保留（P1）</t>
  </si>
  <si>
    <t>BIZ-12, BIZ-15</t>
  </si>
  <si>
    <t>⚪ P1 保留</t>
  </si>
  <si>
    <t>REQ-038</t>
  </si>
  <si>
    <t>動的 provisioning／deprovisioning（SalesforceUserLink・Contact/User 生成・提権降権）の不実施（P1 持ち越し）</t>
  </si>
  <si>
    <t>P0 では動的な外部ユーザー生成・権限変更が発生しないこと（事前設定 1 名のみ）</t>
  </si>
  <si>
    <t>BIZ-09, BIZ-10</t>
  </si>
  <si>
    <t>NFR-01</t>
  </si>
  <si>
    <t>性能：予約一覧・照会表示</t>
  </si>
  <si>
    <t>非機能</t>
  </si>
  <si>
    <t>RD-02 非機能要件一覧</t>
  </si>
  <si>
    <t>予約一覧・照会表示（S-03）が 3 秒以内に描画完了すること（デモデータ数十件・単一ユーザー・3 回平均）</t>
  </si>
  <si>
    <t>設計承接（BD-10）</t>
  </si>
  <si>
    <t>NFR-02</t>
  </si>
  <si>
    <t>性能：予約作成 API 応答</t>
  </si>
  <si>
    <t>予約作成 API 応答が 3 秒以内であること（時間枠競合リトライ発生時を除く）</t>
  </si>
  <si>
    <t>NFR-03</t>
  </si>
  <si>
    <t>性能：コマンド受付応答</t>
  </si>
  <si>
    <t>コマンド受付応答（commandId／QUEUED 返却）が 2 秒以内であること。バックグラウンド完了時間は非同期のため目標値設定なし</t>
  </si>
  <si>
    <t>NFR-04</t>
  </si>
  <si>
    <t>セキュリティ（認証）：A1・A3</t>
  </si>
  <si>
    <t>①A1：JWT（access/refresh/csrf）を HttpOnly Cookie で発行し 6 桁認証コードでログイン。②A3：Integration Guard が secret 鍵バージョン・audience・scope・時刻偏差を検証</t>
  </si>
  <si>
    <t>NFR-05</t>
  </si>
  <si>
    <t>セキュリティ（認可）：サーバ側最終裁定</t>
  </si>
  <si>
    <t>ロール（CUSTOMER/ADMIN）ごとにサーバ側が最終裁定し、顧客 JWT による管理系 API 呼出は 403 となること</t>
  </si>
  <si>
    <t>NFR-06</t>
  </si>
  <si>
    <t>セキュリティ（認可）：SF 行級</t>
  </si>
  <si>
    <t>Booking__c／Booking_Command__c は External OWD=Private＋Sharing Set（Account 隔離）とし、外部ユーザーは自 Account のレコードのみ CRUD/FLS の範囲で操作できること</t>
  </si>
  <si>
    <t>NFR-07</t>
  </si>
  <si>
    <t>セキュリティ（監査ログ）：連携トレース</t>
  </si>
  <si>
    <t>CorrelationId・LastError を Booking__c／Booking_Command__c 双方に、AttemptCount・HttpStatus・NextAttemptAt を Booking_Command__c に記録。Site ログインは LoginHistory で追跡可能なこと</t>
  </si>
  <si>
    <t>NFR-08</t>
  </si>
  <si>
    <t>セキュリティ（暗号化・PII 排除）</t>
  </si>
  <si>
    <t>全通信を HTTPS とする。JWT は HttpOnly Cookie。PII 5 項目（氏名・電話・メール・WeChat・備考）は投影ペイロード・Booking__c のいずれにも出現しないこと</t>
  </si>
  <si>
    <t>NFR-09</t>
  </si>
  <si>
    <t>セキュリティ（脆弱性）：Apex カバレッジ</t>
  </si>
  <si>
    <t>Apex テストカバレッジ 75% 以上を維持し、P0 定義テスト（初回／重複／並行投影、旧バージョン、合法取消、409、503 Mock、権限拒否）が全件成功すること</t>
  </si>
  <si>
    <t>NFR-10</t>
  </si>
  <si>
    <t>可用性：デモ級（目標値なし）</t>
  </si>
  <si>
    <t>単一構成・デモ級につき可用性率の数値目標を設定しない（RTO/RPO 不設定）。障害時は手動再起動（compose restart）で復旧すること</t>
  </si>
  <si>
    <t>NFR-11</t>
  </si>
  <si>
    <t>運用：retention 周期実行</t>
  </si>
  <si>
    <t>retention（30 日ハードデリート）が周期実行されること。デモ期間中は月 1 回、削除ログ／件数を目視確認する</t>
  </si>
  <si>
    <t>NFR-12</t>
  </si>
  <si>
    <t>移行：行わない</t>
  </si>
  <si>
    <t>既存システムからのデータ移行は行わない（新規構築）。移行検証は不要（対象外確認のみ）</t>
  </si>
  <si>
    <t>NFR-13</t>
  </si>
  <si>
    <t>拡張性：スキーマ増分最小化</t>
  </si>
  <si>
    <t>P0 のスキーマ増分（version・syncStatus のみ）は P1 の Outbox／Worker 方式へ置換する際に破壊的変更を伴わないこと</t>
  </si>
  <si>
    <t>NFR-14</t>
  </si>
  <si>
    <t>法令・互換性：PII・標準機能内</t>
  </si>
  <si>
    <t>個人情報を連携目的外に提供しない（投影ホワイトリスト運用で担保）。Salesforce 標準のセキュリティ機能（OWD・Sharing Set・CRUD/FLS）の範囲内で実装すること</t>
  </si>
  <si>
    <t>機能一覧（機能概要一覧）</t>
  </si>
  <si>
    <t>机能按「业务目的」切分，不按画面切。H / I 列由行列自动统计，不要手改。灰色斜体行为示例数据。出典：BD-02 機能一覧</t>
  </si>
  <si>
    <t>機能 ID</t>
  </si>
  <si>
    <t>機能名</t>
  </si>
  <si>
    <t>概要（达成什么业务目的）</t>
  </si>
  <si>
    <t>対応要件 ID</t>
  </si>
  <si>
    <t>担当ロール</t>
  </si>
  <si>
    <t>新規/改修/共通</t>
  </si>
  <si>
    <t>優先度</t>
  </si>
  <si>
    <t>対応要件数</t>
  </si>
  <si>
    <t>対応画面数</t>
  </si>
  <si>
    <t>F-01</t>
  </si>
  <si>
    <t>電話番号認証コードログイン</t>
  </si>
  <si>
    <t>6 桁 SMS 認証コードでログインし、access/refresh/csrf を HttpOnly Cookie で発行する</t>
  </si>
  <si>
    <t>顧客・管理者</t>
  </si>
  <si>
    <t>既存流用（共通認証）</t>
  </si>
  <si>
    <t>✅ 既存実装</t>
  </si>
  <si>
    <t>F-02</t>
  </si>
  <si>
    <t>ユーザー登録</t>
  </si>
  <si>
    <t>電話番号＋認証コード＋氏名／メールで顧客アカウントを登録（電話番号重複チェック付き）</t>
  </si>
  <si>
    <t>顧客</t>
  </si>
  <si>
    <t>既存流用</t>
  </si>
  <si>
    <t>F-03</t>
  </si>
  <si>
    <t>トークン更新・ログアウト・検証</t>
  </si>
  <si>
    <t>401 時の自動更新、ログアウト時にトークンを Redis ブラックリストへ登録、トークン有効性検証</t>
  </si>
  <si>
    <t>F-04</t>
  </si>
  <si>
    <t>サービスカタログ照会</t>
  </si>
  <si>
    <t>稼働中サービスの一覧を閲覧</t>
  </si>
  <si>
    <t>F-05</t>
  </si>
  <si>
    <t>予約可能時間枠照会</t>
  </si>
  <si>
    <t>指定日の空き時間枠を照会（時間枠容量は現状固定値 1）</t>
  </si>
  <si>
    <t>F-06</t>
  </si>
  <si>
    <t>予約作成</t>
  </si>
  <si>
    <t>サービス・時間枠を検証し予約（status=PENDING）を作成</t>
  </si>
  <si>
    <t>F-07</t>
  </si>
  <si>
    <t>本人予約照会</t>
  </si>
  <si>
    <t>自分の予約リスト・詳細を照会（非管理者はバックエンド側で本人レコードに絞り込み）</t>
  </si>
  <si>
    <t>F-08</t>
  </si>
  <si>
    <t>予約変更・キャンセル・削除</t>
  </si>
  <si>
    <t>状態遷移検証（RULE-05・RULE-07）のうえ変更・取消を実施。取消確認メールは非同期送信。ハード削除あり</t>
  </si>
  <si>
    <t>F-09</t>
  </si>
  <si>
    <t>通知</t>
  </si>
  <si>
    <t>サイト内通知一覧・既読化・未読数＋WebSocket による通知配信</t>
  </si>
  <si>
    <t>F-10</t>
  </si>
  <si>
    <t>管理コンソール（予約管理タブ）</t>
  </si>
  <si>
    <t>全量リスト・日次別・統計サマリによる予約管理</t>
  </si>
  <si>
    <t>管理者</t>
  </si>
  <si>
    <t>F-11</t>
  </si>
  <si>
    <t>サービス管理タブ</t>
  </si>
  <si>
    <t>サービス CRUD と稼働・停止</t>
  </si>
  <si>
    <t>F-12</t>
  </si>
  <si>
    <t>ユーザー管理タブ</t>
  </si>
  <si>
    <t>ユーザー作成・照会・統計、状態変更（セッション取消）、ロール変更（セッション維持＝現行仕様・既知課題）、削除</t>
  </si>
  <si>
    <t>F-13</t>
  </si>
  <si>
    <t>時間枠管理</t>
  </si>
  <si>
    <t>時間枠 CRUD と稼働・停止</t>
  </si>
  <si>
    <t>F-14</t>
  </si>
  <si>
    <t>アカウント状態提示</t>
  </si>
  <si>
    <t>無効化・降格ユーザーを提示ページへ誘導（?reason=ROLE_CHANGED_FROM_ADMIN）</t>
  </si>
  <si>
    <t>F-15</t>
  </si>
  <si>
    <t>ファイルアップロード</t>
  </si>
  <si>
    <t>単一・複数ファイル、アバター画像（本スライス対象外・要件化対象外）</t>
  </si>
  <si>
    <t>—（対象外）</t>
  </si>
  <si>
    <t>—（対象外・要件化外）</t>
  </si>
  <si>
    <t>F-20</t>
  </si>
  <si>
    <t>予約投影</t>
  </si>
  <si>
    <t>予約正本（TERM-08）の変更（作成・変更・キャンセル全て）を Booking__c（TERM-09）へ冪等投影。External ID 定位＋version ゲート＋eventId 再送対応。PII 含まず</t>
  </si>
  <si>
    <t>REQ-018（主）・REQ-019/024/029/033</t>
  </si>
  <si>
    <t>システム（Booking API → Apex）</t>
  </si>
  <si>
    <t>新規（P0-3 計画）</t>
  </si>
  <si>
    <t>F-21</t>
  </si>
  <si>
    <t>管理者入口遷移</t>
  </si>
  <si>
    <t>Booking 管理コンソールに「Salesforce 管理ワークベンチ」ボタンを表示し、Site ログインページへ遷移（遷移＝SSO ではない）</t>
  </si>
  <si>
    <t>REQ-017（前提 REQ-026）</t>
  </si>
  <si>
    <t>新規（P0-4 計画）</t>
  </si>
  <si>
    <t>F-22</t>
  </si>
  <si>
    <t>Site 独立ログイン</t>
  </si>
  <si>
    <t>外部ユーザーが /02/login から Experience Site に独立ログイン（Booking の PW/JWT/Cookie は送信しない・RULE-18）</t>
  </si>
  <si>
    <t>管理者（外部ユーザーとして）</t>
  </si>
  <si>
    <t>既存（P0-1・ログイン部分検証済）</t>
  </si>
  <si>
    <t>F-23</t>
  </si>
  <si>
    <t>投影リスト表示</t>
  </si>
  <si>
    <t>Site 内 LWC で自 Account の予約投影を閲覧（行級限定・読取専用）</t>
  </si>
  <si>
    <t>REQ-020（＋REQ-030）</t>
  </si>
  <si>
    <t>F-24</t>
  </si>
  <si>
    <t>キャンセルコマンド受理</t>
  </si>
  <si>
    <t>Site から CANCEL_BOOKING を送信し、Booking_Command__c を生成して commandId／QUEUED を即時返却。状態はポーリングで取得</t>
  </si>
  <si>
    <t>REQ-021（＋REQ-030）</t>
  </si>
  <si>
    <t>管理者（送信）＋システム（受付）</t>
  </si>
  <si>
    <t>新規（P0-3/P0-4 計画）</t>
  </si>
  <si>
    <t>F-25</t>
  </si>
  <si>
    <t>コマンドバックグラウンド実行</t>
  </si>
  <si>
    <t>Queueable が Named Credential で Booking 統合端点を呼出。Integration Guard・静的マッピング・ADMIN/ACTIVE・状態・expectedVersion を検証し同一トランザクションで正本更新。409＝リトライせず・503/timeout＝限定リトライ</t>
  </si>
  <si>
    <t>REQ-022（主）・REQ-023/024/026/027/028/029/031</t>
  </si>
  <si>
    <t>システム</t>
  </si>
  <si>
    <t>F-26</t>
  </si>
  <si>
    <t>結果書き戻し</t>
  </si>
  <si>
    <t>コマンド成功後、バージョンゲート付きで canonical result を Booking__c に書き戻す（incomingVersion が高い場合のみ）</t>
  </si>
  <si>
    <t>REQ-025（＋REQ-024）</t>
  </si>
  <si>
    <t>F-30</t>
  </si>
  <si>
    <t>Site アクセス・メンバー管理</t>
  </si>
  <si>
    <t>Network Live・メンバー 4 件・SelfReg=false の維持確認</t>
  </si>
  <si>
    <t>REQ-034（不実施確認対象）</t>
  </si>
  <si>
    <t>管理者（外部ユーザー）</t>
  </si>
  <si>
    <t>既存（P0-1）</t>
  </si>
  <si>
    <t>✅ 既存（P0-1・REQ-034 確認対象）</t>
  </si>
  <si>
    <t>F-31</t>
  </si>
  <si>
    <t>外部ユーザーライフサイクル（静的部分）</t>
  </si>
  <si>
    <t>事前設定 1 名の外部ユーザーで運用（動的部分は P1 保留）</t>
  </si>
  <si>
    <t>REQ-038（動的部分 P1）</t>
  </si>
  <si>
    <t>既存（静的 1 名）＋⚪ P1</t>
  </si>
  <si>
    <t>✅ 静的 1 名（動的 ⚪ P1）</t>
  </si>
  <si>
    <t>F-32</t>
  </si>
  <si>
    <t>オブジェクト権限マトリクス</t>
  </si>
  <si>
    <t>Booking__c／Booking_Command__c の外部ユーザー最小 CRUD/FLS・Sharing Set 行級・External OWD=Private</t>
  </si>
  <si>
    <t>システム（権限設定）</t>
  </si>
  <si>
    <t>新規（P0-2 契約凍結）</t>
  </si>
  <si>
    <t>🔵 P0-2 計画（契約凍結）</t>
  </si>
  <si>
    <t>F-33</t>
  </si>
  <si>
    <t>信頼性配信・対合・告警</t>
  </si>
  <si>
    <t>Outbox/Worker・DLQ・周期対合・指標告警（P1・本件スコープ外。P0 は直接呼出＋有限リトライ＋手動 Retry）</t>
  </si>
  <si>
    <t>REQ-037（本件では対応しない）</t>
  </si>
  <si>
    <t>⚪ P1</t>
  </si>
  <si>
    <t>⚪ P1（本件スコープ外）</t>
  </si>
  <si>
    <t>画面一覧</t>
  </si>
  <si>
    <t>弹窗、确认页、错误页也要各给一个 ID，不要并入父画面。G 列由行列自动统计。灰色斜体行为示例数据。出典：BD-04 画面一覧</t>
  </si>
  <si>
    <t>画面 ID</t>
  </si>
  <si>
    <t>画面名</t>
  </si>
  <si>
    <t>概要</t>
  </si>
  <si>
    <t>種別</t>
  </si>
  <si>
    <t>対象ロール</t>
  </si>
  <si>
    <t>新規/改修</t>
  </si>
  <si>
    <t>S-01</t>
  </si>
  <si>
    <t>ログイン</t>
  </si>
  <si>
    <t>電話番号＋6 桁認証コードでログインする</t>
  </si>
  <si>
    <t>未認証</t>
  </si>
  <si>
    <t>既存</t>
  </si>
  <si>
    <t>S-02</t>
  </si>
  <si>
    <t>登録</t>
  </si>
  <si>
    <t>電話番号＋認証コード＋氏名／メールでアカウント登録</t>
  </si>
  <si>
    <t>S-03</t>
  </si>
  <si>
    <t>予約画面</t>
  </si>
  <si>
    <t>サービス・時間枠の選択、予約作成・変更・取消、本人予約リスト（単一ページ）</t>
  </si>
  <si>
    <t>ダッシュボード</t>
  </si>
  <si>
    <t>顧客（CUSTOMER）専用</t>
  </si>
  <si>
    <t>S-04</t>
  </si>
  <si>
    <t>管理コンソール</t>
  </si>
  <si>
    <t>予約管理・サービス管理・ユーザー管理の 3 タブ（🔵 P0-4 入口ボタン追加予定）</t>
  </si>
  <si>
    <t>管理者（ADMIN）</t>
  </si>
  <si>
    <t>S-05</t>
  </si>
  <si>
    <t>無効化・降格の理由を提示する例外経路画面</t>
  </si>
  <si>
    <t>提示</t>
  </si>
  <si>
    <t>全ロール</t>
  </si>
  <si>
    <t>S-10</t>
  </si>
  <si>
    <t>Site ログイン</t>
  </si>
  <si>
    <t>外部ユーザー認証情報による独立ログイン（✅ MV-03 検証済み・ログイン部分）</t>
  </si>
  <si>
    <t>外部ユーザー（TERM-07）</t>
  </si>
  <si>
    <t>✅ 既存（P0-1・ログイン ✅）</t>
  </si>
  <si>
    <t>S-11</t>
  </si>
  <si>
    <t>予約投影リスト</t>
  </si>
  <si>
    <t>自 Account の投影（読取専用一覧）＋取消ボタンとコマンド状態ポーリング</t>
  </si>
  <si>
    <t>一覧</t>
  </si>
  <si>
    <t>新規（🔵 P0-4 計画）</t>
  </si>
  <si>
    <t>🔵 P0-4 計画（未実装）</t>
  </si>
  <si>
    <t>業務一覧（RD-03 出典・ID 台账 §4.1）</t>
  </si>
  <si>
    <t>対応要件数は 2.要件一覧 J 列（対応業務 ID）からの COUNTIF 集計。業務名・関連要件 ID は RD-03 §2 の照録。</t>
  </si>
  <si>
    <t>業務ID</t>
  </si>
  <si>
    <t>業務名・概要</t>
  </si>
  <si>
    <t>関連要件 ID（RD-03 照録）</t>
  </si>
  <si>
    <t>対応要件数（式）</t>
  </si>
  <si>
    <t>業務フロー図</t>
  </si>
  <si>
    <t>顧客（未認証）</t>
  </si>
  <si>
    <t>図1・2</t>
  </si>
  <si>
    <t>ログイン・ログアウト</t>
  </si>
  <si>
    <t>REQ-002, REQ-003, REQ-014</t>
  </si>
  <si>
    <t>REQ-004, REQ-005, REQ-006</t>
  </si>
  <si>
    <t>予約照会（本人）</t>
  </si>
  <si>
    <t>通知確認</t>
  </si>
  <si>
    <t>予約管理（管理者）</t>
  </si>
  <si>
    <t>REQ-010, REQ-014</t>
  </si>
  <si>
    <t>図3</t>
  </si>
  <si>
    <t>サービス・時間枠管理</t>
  </si>
  <si>
    <t>REQ-011, REQ-012, REQ-014</t>
  </si>
  <si>
    <t>ユーザー管理</t>
  </si>
  <si>
    <t>REQ-013, REQ-014, REQ-015, REQ-035, REQ-038</t>
  </si>
  <si>
    <t>Salesforce 管理ワークベンチ入口利用</t>
  </si>
  <si>
    <t>REQ-017, REQ-026, REQ-038</t>
  </si>
  <si>
    <t>図4</t>
  </si>
  <si>
    <t>Experience Site 独立ログイン</t>
  </si>
  <si>
    <t>REQ-016, REQ-034</t>
  </si>
  <si>
    <t>✅ 検証済（ログイン部分・P0-1）</t>
  </si>
  <si>
    <t>予約投影（正本変更の冪等投影）</t>
  </si>
  <si>
    <t>REQ-018, REQ-019, REQ-024, REQ-025, REQ-029, REQ-031, REQ-033, REQ-036, REQ-037</t>
  </si>
  <si>
    <t>図5</t>
  </si>
  <si>
    <t>投影照会（Site）</t>
  </si>
  <si>
    <t>REQ-020, REQ-030</t>
  </si>
  <si>
    <t>予約キャンセルコマンド実行</t>
  </si>
  <si>
    <t>管理者（送信）＋システム（実行）</t>
  </si>
  <si>
    <t>REQ-021, REQ-022, REQ-023, REQ-024, REQ-025, REQ-026, REQ-027, REQ-029, REQ-030, REQ-031, REQ-036</t>
  </si>
  <si>
    <t>図6</t>
  </si>
  <si>
    <t>コマンド異常時対応（409/FAILED・手動 Retry）</t>
  </si>
  <si>
    <t>管理者（判断）＋システム（再実行）</t>
  </si>
  <si>
    <t>REQ-027, REQ-028, REQ-031, REQ-037</t>
  </si>
  <si>
    <t>半自動（P0 手動 Retry・UI は P1）</t>
  </si>
  <si>
    <t>予約データ保持・消去（30 日ハードデリート）</t>
  </si>
  <si>
    <t>システム＋管理者（月次確認）</t>
  </si>
  <si>
    <t>REQ-032, REQ-033</t>
  </si>
  <si>
    <t>図7</t>
  </si>
  <si>
    <t>✅ 既存実装（月次確認は手動）</t>
  </si>
  <si>
    <t>業務ルール一覧（RD-05 出典）</t>
  </si>
  <si>
    <t>ルール内容は RD-05 §2 の要約（原文は同書参照）。主検証アンカーは RD-05 §3 の対応表による（RULE-06 は §3 未記載のため —）。</t>
  </si>
  <si>
    <t>ルールID</t>
  </si>
  <si>
    <t>対応業務ID</t>
  </si>
  <si>
    <t>ルール内容（要約）</t>
  </si>
  <si>
    <t>適用タイミング</t>
  </si>
  <si>
    <t>主検証アンカー（RD-05 §3）</t>
  </si>
  <si>
    <t>RULE-01</t>
  </si>
  <si>
    <t>投影受信時、incomingVersion &lt;= CurrentVersion__c は受理を拒否し Booking__c を更新しない</t>
  </si>
  <si>
    <t>投影 REST 受信時</t>
  </si>
  <si>
    <t>MV-05・MV-06</t>
  </si>
  <si>
    <t>RULE-02</t>
  </si>
  <si>
    <t>expectedVersion != 正本 version の場合は 409＋currentVersion＋correlationId を返し正本を更新しない</t>
  </si>
  <si>
    <t>Booking 統合端点の業務判定時</t>
  </si>
  <si>
    <t>MV-09</t>
  </si>
  <si>
    <t>RULE-03</t>
  </si>
  <si>
    <t>同一 commandId の再到達では初回保存済み結果を返し、副作用を再実行しない</t>
  </si>
  <si>
    <t>Booking 統合端点受信時</t>
  </si>
  <si>
    <t>MV-08（重複口径）</t>
  </si>
  <si>
    <t>RULE-04</t>
  </si>
  <si>
    <t>同一 eventId の投影再送では初回の受理結果を返し、レコードを追加更新しない（LastEventId__c 判定）</t>
  </si>
  <si>
    <t>RULE-05</t>
  </si>
  <si>
    <t>BIZ-04, BIZ-14</t>
  </si>
  <si>
    <t>合法遷移は PENDING→CONFIRMED／PENDING→CANCELLED／CONFIRMED→CANCELLED／CONFIRMED→COMPLETED のみ。終状態への遷移は不可</t>
  </si>
  <si>
    <t>予約更新・取消・コマンド適用時</t>
  </si>
  <si>
    <t>実装済 UT＋MV-09</t>
  </si>
  <si>
    <t>✅ 既存実装（現行仕様）</t>
  </si>
  <si>
    <t>RULE-06</t>
  </si>
  <si>
    <t>予約作成は対象時間枠が稼働中かつ予約済みでない（実効容量=1）場合のみ受理。競合は直列化＋限定リトライ</t>
  </si>
  <si>
    <t>予約作成時</t>
  </si>
  <si>
    <t>—（RD-05 §3 未記載）</t>
  </si>
  <si>
    <t>RULE-07</t>
  </si>
  <si>
    <t>取消は PENDING/CONFIRMED のみ。CANCELLED 宛の新 commandId・COMPLETED 宛は 409</t>
  </si>
  <si>
    <t>取消実行時</t>
  </si>
  <si>
    <t>RULE-08</t>
  </si>
  <si>
    <t>正本変更は同一トランザクションで正本更新＋version+1＋syncStatus=PENDING。version は単調増加</t>
  </si>
  <si>
    <t>正本変更トランザクション内</t>
  </si>
  <si>
    <t>MV-04</t>
  </si>
  <si>
    <t>RULE-09</t>
  </si>
  <si>
    <t>409＝業務競合（自動リトライせず CONFLICT）。503/429/timeout＝一時的障害（attemptCount+1・限定回数リトライ）</t>
  </si>
  <si>
    <t>Queueable の応答処理時</t>
  </si>
  <si>
    <t>MV-10</t>
  </si>
  <si>
    <t>RULE-10</t>
  </si>
  <si>
    <t>リトライ上限到達で FAILED とし、手動 Retry は原 commandId で実行（新 commandId を発行しない）</t>
  </si>
  <si>
    <t>リトライ上限到達時・手動 Retry 時</t>
  </si>
  <si>
    <t>RULE-11</t>
  </si>
  <si>
    <t>投影ホワイトリストは 9 項目のみ。PII 5 項目はペイロード・Booking__c のいずれにも含めない</t>
  </si>
  <si>
    <t>投影ペイロード生成時・項目設計時</t>
  </si>
  <si>
    <t>MV-04 併せて確認（PII）</t>
  </si>
  <si>
    <t>RULE-12</t>
  </si>
  <si>
    <t>操作者はサーバ側の静的マッピングのみで特定。非 ADMIN/ACTIVE・inactive は拒否</t>
  </si>
  <si>
    <t>入口表示判定時・コマンド業務判定時</t>
  </si>
  <si>
    <t>MV-11（誤認証・RD-05 §3）／静的マッピング主検証は MV-08（mvp-validation.md:120）</t>
  </si>
  <si>
    <t>RULE-13</t>
  </si>
  <si>
    <t>コマンド種別は CANCEL_BOOKING のみ。Site 操作は OWD Private＋Sharing Set＋CRUD/FLS の範囲内（with sharing）</t>
  </si>
  <si>
    <t>Site 操作時</t>
  </si>
  <si>
    <t>MV-07</t>
  </si>
  <si>
    <t>RULE-14</t>
  </si>
  <si>
    <t>終状態（SUCCEEDED/CONFLICT）書込は明示 200/409 受信時のみ。401/403・timeout では書込まない</t>
  </si>
  <si>
    <t>MV-08／MV-10</t>
  </si>
  <si>
    <t>RULE-15</t>
  </si>
  <si>
    <t>CANCELLED/COMPLETED は状態確定から 30 日後にハードデリート。投影は対象外・遅延コマンドは 404/409（G7）</t>
  </si>
  <si>
    <t>日次クリーンアップ実行時</t>
  </si>
  <si>
    <t>NFR-11（月次確認）</t>
  </si>
  <si>
    <t>✅ 既存実装（retention 30 日）※遅延命令 404/409 は未着手（G7）</t>
  </si>
  <si>
    <t>RULE-16</t>
  </si>
  <si>
    <t>入口ボタンは role=ADMIN かつ静的マッピング active の場合のみ有効表示</t>
  </si>
  <si>
    <t>管理コンソール描画時</t>
  </si>
  <si>
    <t>MV-02</t>
  </si>
  <si>
    <t>RULE-17</t>
  </si>
  <si>
    <t>ユーザー状態変更は全セッション取消。ロール変更はセッション維持（現行仕様・既知課題）</t>
  </si>
  <si>
    <t>PUT /v1/users/:id 系実行時</t>
  </si>
  <si>
    <t>実装済機能の動作確認</t>
  </si>
  <si>
    <t>✅ 既存実装（現行仕様・P1 強化課題）</t>
  </si>
  <si>
    <t>RULE-18</t>
  </si>
  <si>
    <t>Booking の機密（PW・JWT・Cookie・認証コード）は Salesforce に送信しない。両ログイン状態は完全に独立</t>
  </si>
  <si>
    <t>入口遷移時・Site ログイン時</t>
  </si>
  <si>
    <t>MV-03（検証済・ログイン部分）</t>
  </si>
  <si>
    <t>用語集（RD-06 出典）</t>
  </si>
  <si>
    <t>用語名は日本語/英語表記（中国語参考列は RD-06 原表参照）。🔵＝P0 計画（未実装）。</t>
  </si>
  <si>
    <t>用語ID</t>
  </si>
  <si>
    <t>用語名（日本語 / 英語）</t>
  </si>
  <si>
    <t>物理名候補</t>
  </si>
  <si>
    <t>TERM-01</t>
  </si>
  <si>
    <t>予約 / Appointment</t>
  </si>
  <si>
    <t>Appointment（status: PENDING|CONFIRMED|CANCELLED|COMPLETED）</t>
  </si>
  <si>
    <t>✅ 既存</t>
  </si>
  <si>
    <t>TERM-02</t>
  </si>
  <si>
    <t>予約枠 / TimeSlot</t>
  </si>
  <si>
    <t>TimeSlot</t>
  </si>
  <si>
    <t>TERM-03</t>
  </si>
  <si>
    <t>サービス / Service</t>
  </si>
  <si>
    <t>Service</t>
  </si>
  <si>
    <t>TERM-04</t>
  </si>
  <si>
    <t>サービスカテゴリ / ServiceCategory</t>
  </si>
  <si>
    <t>ServiceCategory</t>
  </si>
  <si>
    <t>TERM-05</t>
  </si>
  <si>
    <t>顧客 / CUSTOMER</t>
  </si>
  <si>
    <t>User.userType = CUSTOMER</t>
  </si>
  <si>
    <t>TERM-06</t>
  </si>
  <si>
    <t>管理者 / ADMIN</t>
  </si>
  <si>
    <t>User.userType = ADMIN</t>
  </si>
  <si>
    <t>TERM-07</t>
  </si>
  <si>
    <t>外部ユーザー / External User</t>
  </si>
  <si>
    <t>Salesforce User（Chatter Communities External User）</t>
  </si>
  <si>
    <t>TERM-08</t>
  </si>
  <si>
    <t>正本 / Canonical Record</t>
  </si>
  <si>
    <t>Appointment</t>
  </si>
  <si>
    <t>TERM-09</t>
  </si>
  <si>
    <t>投影 / Projection</t>
  </si>
  <si>
    <t>Booking__c</t>
  </si>
  <si>
    <t>🔵</t>
  </si>
  <si>
    <t>🔵 未実装（P0 計画）</t>
  </si>
  <si>
    <t>TERM-10</t>
  </si>
  <si>
    <t>バージョン / Version</t>
  </si>
  <si>
    <t>Appointment.version・Booking__c.CurrentVersion__c・Booking_Command__c.ExpectedVersion__c / ResultVersion__c</t>
  </si>
  <si>
    <t>TERM-11</t>
  </si>
  <si>
    <t>コマンド / Booking Command</t>
  </si>
  <si>
    <t>Booking_Command__c</t>
  </si>
  <si>
    <t>TERM-12</t>
  </si>
  <si>
    <t>コマンドID / commandId</t>
  </si>
  <si>
    <t>Booking_Command__c.CommandId__c</t>
  </si>
  <si>
    <t>TERM-13</t>
  </si>
  <si>
    <t>冪等性 / Idempotency</t>
  </si>
  <si>
    <t>（設計原則・個別物理名なし）</t>
  </si>
  <si>
    <t>設計原則（P0-2/P0-3 で適用）</t>
  </si>
  <si>
    <t>TERM-14</t>
  </si>
  <si>
    <t>外部ID / External ID</t>
  </si>
  <si>
    <t>Booking__c.BookingExternalId__c</t>
  </si>
  <si>
    <t>🔵 二択未決（P0-2）</t>
  </si>
  <si>
    <t>TERM-15</t>
  </si>
  <si>
    <t>予約番号 / appointmentNumber</t>
  </si>
  <si>
    <t>Appointment.appointmentNumber・Booking__c.AppointmentNumber__c</t>
  </si>
  <si>
    <t>TERM-16</t>
  </si>
  <si>
    <t>同期状態 / syncStatus</t>
  </si>
  <si>
    <t>Appointment.syncStatus・Booking__c.SyncStatus__c</t>
  </si>
  <si>
    <t>TERM-17</t>
  </si>
  <si>
    <t>相関ID / correlationId</t>
  </si>
  <si>
    <t>Booking__c.CorrelationId__c・Booking_Command__c.CorrelationId__c</t>
  </si>
  <si>
    <t>TERM-18</t>
  </si>
  <si>
    <t>イベントID / eventId</t>
  </si>
  <si>
    <t>Booking__c.LastEventId__c</t>
  </si>
  <si>
    <t>TERM-19</t>
  </si>
  <si>
    <t>Experience Cloud サイト / Experience Cloud Site</t>
  </si>
  <si>
    <t>（Site 名 my call center・/02・Live）</t>
  </si>
  <si>
    <t>✅ 構築済（P0-1）</t>
  </si>
  <si>
    <t>TERM-20</t>
  </si>
  <si>
    <t>Connected App（OAuth 2.0 JWT ベアラー）</t>
  </si>
  <si>
    <t>Connected App（P0-3 で構成）</t>
  </si>
  <si>
    <t>TERM-21</t>
  </si>
  <si>
    <t>Named Credential</t>
  </si>
  <si>
    <t>Booking_Integration_API（計画名）</t>
  </si>
  <si>
    <t>TERM-22</t>
  </si>
  <si>
    <t>Queueable / Queueable（Apex 非同期処理）</t>
  </si>
  <si>
    <t>BookingCommandQueueable（計画クラス名）</t>
  </si>
  <si>
    <t>TERM-23</t>
  </si>
  <si>
    <t>Integration Guard</t>
  </si>
  <si>
    <t>ガード実装（クラス名は P0-3 で確定）</t>
  </si>
  <si>
    <t>TERM-24</t>
  </si>
  <si>
    <t>投影入口 / BookingProjectionRest</t>
  </si>
  <si>
    <t>BookingProjectionRest（計画クラス名）</t>
  </si>
  <si>
    <t>TERM-25</t>
  </si>
  <si>
    <t>Site コントローラ / BookingSiteController</t>
  </si>
  <si>
    <t>BookingSiteController（計画クラス名）</t>
  </si>
  <si>
    <t>TERM-26</t>
  </si>
  <si>
    <t>静的操作者マッピング</t>
  </si>
  <si>
    <t>マッピングテーブル（P0-3 で確定・P1 計画名 SalesforceUserLink）</t>
  </si>
  <si>
    <t>TERM-27</t>
  </si>
  <si>
    <t>業務競合 / Business Conflict (409)</t>
  </si>
  <si>
    <t>HTTP 409</t>
  </si>
  <si>
    <t>TERM-28</t>
  </si>
  <si>
    <t>一時的障害 / Temporary Failure (503/timeout)</t>
  </si>
  <si>
    <t>HTTP 503</t>
  </si>
  <si>
    <t>TERM-29</t>
  </si>
  <si>
    <t>個人情報 / PII</t>
  </si>
  <si>
    <t>Appointment.customerName/customerPhone/customerEmail/customerWechat/notes（投影外）</t>
  </si>
  <si>
    <t>TERM-30</t>
  </si>
  <si>
    <t>データ保持 / Retention</t>
  </si>
  <si>
    <t>retention モジュール</t>
  </si>
  <si>
    <t>TERM-31</t>
  </si>
  <si>
    <t>認証コード / Verification Code</t>
  </si>
  <si>
    <t>（Redis 保存・検証用データ）</t>
  </si>
  <si>
    <t>TERM-32</t>
  </si>
  <si>
    <t>共有設定 / Sharing Set（＋External OWD）</t>
  </si>
  <si>
    <t>Sharing Set 設定＋外部 OWD=Private</t>
  </si>
  <si>
    <t>TERM-33</t>
  </si>
  <si>
    <t>LWC / Lightning Web コンポーネント</t>
  </si>
  <si>
    <t>LWC バンドル（P0-4 で命名）</t>
  </si>
  <si>
    <t>TERM-34</t>
  </si>
  <si>
    <t>Outbox（P1 計画）</t>
  </si>
  <si>
    <t>Outbox（P1 計画・物理名未確定）</t>
  </si>
  <si>
    <t>⚪ P1 計画（未実装）</t>
  </si>
  <si>
    <t>TERM-35</t>
  </si>
  <si>
    <t>コマンド状態 / Command Status</t>
  </si>
  <si>
    <t>Booking_Command__c.Status__c（QUEUED|RUNNING|SUCCEEDED|CONFLICT|FAILED）</t>
  </si>
  <si>
    <t>I/F・コード・共通機能・認証境界一覧</t>
  </si>
  <si>
    <t>出典：BD-09 §2（IF）／BD-08 §2（CD）／BD-11 §2（CF）／BD-01 §4（A1〜A4）。ID 台账 §2.3 の各系列を一括収容。</t>
  </si>
  <si>
    <t>■ I/F 一覧（IF・2 件）</t>
  </si>
  <si>
    <t>I/F ID</t>
  </si>
  <si>
    <t>名称</t>
  </si>
  <si>
    <t>方向</t>
  </si>
  <si>
    <t>対応機能</t>
  </si>
  <si>
    <t>認証</t>
  </si>
  <si>
    <t>IF-01</t>
  </si>
  <si>
    <t>Booking → Salesforce</t>
  </si>
  <si>
    <t>OAuth 2.0 JWT Bearer（Connected App・A2）</t>
  </si>
  <si>
    <t>IF-02</t>
  </si>
  <si>
    <t>予約キャンセルコマンド</t>
  </si>
  <si>
    <t>Salesforce → Booking</t>
  </si>
  <si>
    <t>Named Credential（Bearer secret）＋Integration Guard（A3）</t>
  </si>
  <si>
    <t>■ コード一覧（CD・11 件）</t>
  </si>
  <si>
    <t>コードID</t>
  </si>
  <si>
    <t>名称・物理名</t>
  </si>
  <si>
    <t>値域と各値の意味（要約）</t>
  </si>
  <si>
    <t>分類</t>
  </si>
  <si>
    <t>CD-01</t>
  </si>
  <si>
    <t>ユーザー種別・UserType</t>
  </si>
  <si>
    <t>CUSTOMER／ADMIN</t>
  </si>
  <si>
    <t>業務コード</t>
  </si>
  <si>
    <t>✅ 既存実装（Prisma enum）</t>
  </si>
  <si>
    <t>CD-02</t>
  </si>
  <si>
    <t>ユーザー状態・UserStatus</t>
  </si>
  <si>
    <t>ACTIVE／INACTIVE／BLOCKED</t>
  </si>
  <si>
    <t>CD-03</t>
  </si>
  <si>
    <t>予約状態・AppointmentStatus</t>
  </si>
  <si>
    <t>PENDING／CONFIRMED／CANCELLED（終状態）／COMPLETED（終状態）</t>
  </si>
  <si>
    <t>IF-01 §3.6・IF-02 409 判定</t>
  </si>
  <si>
    <t>CD-04</t>
  </si>
  <si>
    <t>通知種別・NotificationType</t>
  </si>
  <si>
    <t>SMS／EMAIL／WECHAT／PUSH</t>
  </si>
  <si>
    <t>CD-05</t>
  </si>
  <si>
    <t>通知状態・NotificationStatus</t>
  </si>
  <si>
    <t>PENDING／SENT／FAILED／CANCELLED</t>
  </si>
  <si>
    <t>CD-06</t>
  </si>
  <si>
    <t>同期状態・syncStatus</t>
  </si>
  <si>
    <t>PENDING／SYNCED／ERROR</t>
  </si>
  <si>
    <t>システム内部コード</t>
  </si>
  <si>
    <t>🔵 P0-2 計画（未実装）</t>
  </si>
  <si>
    <t>CD-07</t>
  </si>
  <si>
    <t>投影状態・Booking__c.Status__c</t>
  </si>
  <si>
    <t>CD-03 と同一 canonical 値</t>
  </si>
  <si>
    <t>業務コード（投影複製値）</t>
  </si>
  <si>
    <t>🔵 P0-2 計画</t>
  </si>
  <si>
    <t>CD-08</t>
  </si>
  <si>
    <t>コマンド状態・Booking_Command__c.Status__c</t>
  </si>
  <si>
    <t>QUEUED→RUNNING→SUCCEEDED／CONFLICT／FAILED（終状態）</t>
  </si>
  <si>
    <t>CD-09</t>
  </si>
  <si>
    <t>設定型別・SettingType</t>
  </si>
  <si>
    <t>STRING／NUMBER／BOOLEAN／JSON</t>
  </si>
  <si>
    <t>対応端点は現状不可用</t>
  </si>
  <si>
    <t>CD-10</t>
  </si>
  <si>
    <t>設定分類・SettingCategory</t>
  </si>
  <si>
    <t>GENERAL／SECURITY／BUSINESS／SYSTEM</t>
  </si>
  <si>
    <t>CD-11</t>
  </si>
  <si>
    <t>予約操作・AppointmentAction</t>
  </si>
  <si>
    <t>CREATE／UPDATE／CONFIRM／CANCEL／COMPLETE</t>
  </si>
  <si>
    <t>参照先なし・既知課題</t>
  </si>
  <si>
    <t>■ 共通機能一覧（CF・7 件）</t>
  </si>
  <si>
    <t>共通機能ID</t>
  </si>
  <si>
    <t>対応 NFR</t>
  </si>
  <si>
    <t>状態</t>
  </si>
  <si>
    <t>CF-01</t>
  </si>
  <si>
    <t>認証・認可</t>
  </si>
  <si>
    <t>NFR-04・NFR-05</t>
  </si>
  <si>
    <t>✅（連携側拡張 🔵）</t>
  </si>
  <si>
    <t>NestJS Guard・APP_GUARD</t>
  </si>
  <si>
    <t>CF-02</t>
  </si>
  <si>
    <t>トークン無効化</t>
  </si>
  <si>
    <t>✅</t>
  </si>
  <si>
    <t>Redis ブラックリスト</t>
  </si>
  <si>
    <t>CF-03</t>
  </si>
  <si>
    <t>エラーレスポンス</t>
  </si>
  <si>
    <t>NFR-05・NFR-09</t>
  </si>
  <si>
    <t>✅ Booking／🔵 連携</t>
  </si>
  <si>
    <t>409/503/401/403 の区分共有</t>
  </si>
  <si>
    <t>CF-04</t>
  </si>
  <si>
    <t>ログ出力</t>
  </si>
  <si>
    <t>ActivityLog／SystemLog</t>
  </si>
  <si>
    <t>CF-05</t>
  </si>
  <si>
    <t>採番（eventId・correlationId・commandId）</t>
  </si>
  <si>
    <t>一意性のみ・順序性なし</t>
  </si>
  <si>
    <t>CF-06</t>
  </si>
  <si>
    <t>日付・タイムゾーン処理</t>
  </si>
  <si>
    <t>NFR-07（間接）</t>
  </si>
  <si>
    <t>✅（規約化 🔵）</t>
  </si>
  <si>
    <t>フロント JST・バックエンド UTC</t>
  </si>
  <si>
    <t>CF-07</t>
  </si>
  <si>
    <t>保持・削除</t>
  </si>
  <si>
    <t>NFR-11・NFR-14</t>
  </si>
  <si>
    <t>retention：CronJob＋deleteMany</t>
  </si>
  <si>
    <t>■ 認証境界（A・4 件）</t>
  </si>
  <si>
    <t>ID</t>
  </si>
  <si>
    <t>経路</t>
  </si>
  <si>
    <t>認証手段</t>
  </si>
  <si>
    <t>対応 I/F</t>
  </si>
  <si>
    <t>A1</t>
  </si>
  <si>
    <t>顧客／管理者 → Booking API</t>
  </si>
  <si>
    <t>JWT（HttpOnly Cookie）＋6 桁認証コード・DB ロール参照</t>
  </si>
  <si>
    <t>A2</t>
  </si>
  <si>
    <t>Booking サービス → Salesforce</t>
  </si>
  <si>
    <t>OAuth 2.0 JWT Bearer（Connected App）</t>
  </si>
  <si>
    <t>🔵 P0-3</t>
  </si>
  <si>
    <t>A3</t>
  </si>
  <si>
    <t>Salesforce Queueable → Booking API</t>
  </si>
  <si>
    <t>Named Credential＋Integration Guard</t>
  </si>
  <si>
    <t>A4</t>
  </si>
  <si>
    <t>管理者 → Experience Site</t>
  </si>
  <si>
    <t>外部ユーザー認証情報の独立ログイン（遷移＝SSO ではない）</t>
  </si>
  <si>
    <t>遷移 🔵 P0-4／ログイン ✅ MV-03</t>
  </si>
  <si>
    <t>遷移 🔵 P0-4／ログイン ✅</t>
  </si>
  <si>
    <t>最小検証マトリクス一覧（experience-site-mvp-validation.md §4 出典）</t>
  </si>
  <si>
    <t>対応 TC 数は 10.TC一覧 E 列（対応MV）からの COUNTIF 集計。MV-01〜03 はブラウザ検証のため自動化 TC を持たない（式は 0 を返す・テンプレートの仕様上の正常系）。出典：experience-site-mvp-validation.md §4</t>
  </si>
  <si>
    <t>MV ID</t>
  </si>
  <si>
    <t>内容</t>
  </si>
  <si>
    <t>主対応 F</t>
  </si>
  <si>
    <t>方式</t>
  </si>
  <si>
    <t>対応 TC 数（式）</t>
  </si>
  <si>
    <t>対応 TC・備考</t>
  </si>
  <si>
    <t>MV-01</t>
  </si>
  <si>
    <t>普通用户边界：顧客に Salesforce 入口が見えず、管理 API も 403</t>
  </si>
  <si>
    <t>Booking 既存機能</t>
  </si>
  <si>
    <t>真实链路（ブラウザ）</t>
  </si>
  <si>
    <t>自動化 TC なし（NFR-05 後半の実測）</t>
  </si>
  <si>
    <t>未実施（P0-4 ブラウザ検証）</t>
  </si>
  <si>
    <t>管理员入口：入口ボタンで Experience Site へ遷移</t>
  </si>
  <si>
    <t>真实链路（P0-4）</t>
  </si>
  <si>
    <t>自動化 TC なし（RULE-16 の描画判定）</t>
  </si>
  <si>
    <t>未実施（P0-4）</t>
  </si>
  <si>
    <t>MV-03</t>
  </si>
  <si>
    <t>独立登录：外部ユーザーが Site に独立ログイン</t>
  </si>
  <si>
    <t>真实链路</t>
  </si>
  <si>
    <t>✅ 検証済（ログイン部分・2026-08-31）</t>
  </si>
  <si>
    <t>首次投影：予約作成で Booking__c 1 件・External ID と version 正しい</t>
  </si>
  <si>
    <t>真实链路＋自動</t>
  </si>
  <si>
    <t>TC-01・TC-06</t>
  </si>
  <si>
    <t>未実施（P0-3 自動化）</t>
  </si>
  <si>
    <t>MV-05</t>
  </si>
  <si>
    <t>投影幂等/乱序：同一イベント再送で増えず・旧 version は拒否</t>
  </si>
  <si>
    <t>自動化</t>
  </si>
  <si>
    <t>TC-02・TC-03・TC-04</t>
  </si>
  <si>
    <t>MV-06</t>
  </si>
  <si>
    <t>并发首次投影：同一 External ID の並行初回で 1 件のみ</t>
  </si>
  <si>
    <t>TC-05</t>
  </si>
  <si>
    <t>Site 权限：授权レコード・項目のみ閲覧可能</t>
  </si>
  <si>
    <t>真实链路（P0-4・F-23 完了時）</t>
  </si>
  <si>
    <t>TC-12</t>
  </si>
  <si>
    <t>未実施（P0-4・F-23 完了時）</t>
  </si>
  <si>
    <t>MV-08</t>
  </si>
  <si>
    <t>合法取消：commandId 返却→正本 CANCELLED→結果回写</t>
  </si>
  <si>
    <t>F-24・F-25・F-26</t>
  </si>
  <si>
    <t>TC-07・TC-20</t>
  </si>
  <si>
    <t>未実施（P0-3）</t>
  </si>
  <si>
    <t>业务冲突：旧 expectedVersion・完了予約取消は 409</t>
  </si>
  <si>
    <t>TC-08・TC-23</t>
  </si>
  <si>
    <t>暂时性失败：前 2 回 503・第 3 回成功＋継続失敗</t>
  </si>
  <si>
    <t>TC-09・TC-10</t>
  </si>
  <si>
    <t>MV-11</t>
  </si>
  <si>
    <t>服务端认证：誤 audience/scope/key は 401/403・状態不変</t>
  </si>
  <si>
    <t>TC-11・TC-17・TC-18</t>
  </si>
  <si>
    <t>単体テストケース一覧（DD-04 §3/§4 出典）</t>
  </si>
  <si>
    <t>対応F・対応MV は DD-04 備考列（対応機能 ID）の照録。E 列は 9.MV一覧の COUNTIF 集計キー（MV 束縛なしの TC は —）。</t>
  </si>
  <si>
    <t>TC ID</t>
  </si>
  <si>
    <t>対象モジュール・メソッド</t>
  </si>
  <si>
    <t>観点</t>
  </si>
  <si>
    <t>対応F</t>
  </si>
  <si>
    <t>対応MV</t>
  </si>
  <si>
    <t>RULE・REQ 等出典（要点）</t>
  </si>
  <si>
    <t>TC-01</t>
  </si>
  <si>
    <t>BookingProjectionRest.receiveProjection</t>
  </si>
  <si>
    <t>正常（初回投影成功）</t>
  </si>
  <si>
    <t>RULE-01/04・IF-01</t>
  </si>
  <si>
    <t>未実施（P0-3 計画）</t>
  </si>
  <si>
    <t>TC-02</t>
  </si>
  <si>
    <t>冪等（同一 eventId 再送）</t>
  </si>
  <si>
    <t>TC-03</t>
  </si>
  <si>
    <t>異常（旧 version 拒否）</t>
  </si>
  <si>
    <t>RULE-01・REQ-024</t>
  </si>
  <si>
    <t>TC-04</t>
  </si>
  <si>
    <t>境界（同 version・別 eventId は拒否）</t>
  </si>
  <si>
    <t>RULE-01/04</t>
  </si>
  <si>
    <t>並行（並行初回投影）</t>
  </si>
  <si>
    <t>BD-03 §3.6 FOR UPDATE</t>
  </si>
  <si>
    <t>TC-06</t>
  </si>
  <si>
    <t>異常（PII 非含有）</t>
  </si>
  <si>
    <t>RULE-11・REQ-019・NFR-09</t>
  </si>
  <si>
    <t>TC-07</t>
  </si>
  <si>
    <t>BookingCommandQueueable.execute</t>
  </si>
  <si>
    <t>正常（合法取消成功）</t>
  </si>
  <si>
    <t>F-25/F-26</t>
  </si>
  <si>
    <t>RULE-14・REQ-025</t>
  </si>
  <si>
    <t>TC-08</t>
  </si>
  <si>
    <t>異常（409 業務競合）</t>
  </si>
  <si>
    <t>RULE-02/09/14</t>
  </si>
  <si>
    <t>TC-09</t>
  </si>
  <si>
    <t>異常（503 一時障害・成功回復）</t>
  </si>
  <si>
    <t>TC-10</t>
  </si>
  <si>
    <t>異常（継続失敗→FAILED）</t>
  </si>
  <si>
    <t>RULE-10・REQ-028</t>
  </si>
  <si>
    <t>TC-11</t>
  </si>
  <si>
    <t>異常（認証 NG 401/403）</t>
  </si>
  <si>
    <t>RULE-14 注記・REQ-029</t>
  </si>
  <si>
    <t>BookingSiteController.getProjections</t>
  </si>
  <si>
    <t>異常（行級限定・越権拒否）</t>
  </si>
  <si>
    <t>RULE-13・REQ-030</t>
  </si>
  <si>
    <t>TC-13</t>
  </si>
  <si>
    <t>BookingSiteController.submitCancel</t>
  </si>
  <si>
    <t>境界（取消不可状態の事前抑制）</t>
  </si>
  <si>
    <t>RULE-07・MSG-04</t>
  </si>
  <si>
    <t>TC-14</t>
  </si>
  <si>
    <t>境界（受入端点の入力境界）</t>
  </si>
  <si>
    <t>BD-09 §4.3・RULE-02/12/13</t>
  </si>
  <si>
    <t>TC-15</t>
  </si>
  <si>
    <t>境界（投影 0 件）</t>
  </si>
  <si>
    <t>MSG-01</t>
  </si>
  <si>
    <t>TC-16</t>
  </si>
  <si>
    <t>BookingSiteController.getCommandStatus</t>
  </si>
  <si>
    <t>正常（状態遷移表示）</t>
  </si>
  <si>
    <t>S-11-07・CD-08</t>
  </si>
  <si>
    <t>TC-17</t>
  </si>
  <si>
    <t>Integration Guard.canActivate</t>
  </si>
  <si>
    <t>正常（A3 検証通過）</t>
  </si>
  <si>
    <t>REQ-029・NFR-04</t>
  </si>
  <si>
    <t>TC-18</t>
  </si>
  <si>
    <t>異常（認証 NG）</t>
  </si>
  <si>
    <t>TC-19</t>
  </si>
  <si>
    <t>BookingCommandsController.receiveCommand</t>
  </si>
  <si>
    <t>境界（DTO 検証）</t>
  </si>
  <si>
    <t>BD-09 §4.3・RULE-13</t>
  </si>
  <si>
    <t>TC-20</t>
  </si>
  <si>
    <t>BookingsIntegrationService.executeCancelCommand</t>
  </si>
  <si>
    <t>冪等（commandId 再送）</t>
  </si>
  <si>
    <t>RULE-03・REQ-023</t>
  </si>
  <si>
    <t>TC-21</t>
  </si>
  <si>
    <t>異常（静的マッピング NG）</t>
  </si>
  <si>
    <t>RULE-12・REQ-026</t>
  </si>
  <si>
    <t>TC-22</t>
  </si>
  <si>
    <t>異常（予約定位 404）</t>
  </si>
  <si>
    <t>REQ-033・G7・RULE-15</t>
  </si>
  <si>
    <t>TC-23</t>
  </si>
  <si>
    <t>異常（状態遷移 NG）</t>
  </si>
  <si>
    <t>RULE-05/07</t>
  </si>
  <si>
    <t>TC-24</t>
  </si>
  <si>
    <t>境界（バージョンゲート）</t>
  </si>
  <si>
    <t>RULE-02・REQ-024</t>
  </si>
  <si>
    <t>TC-25</t>
  </si>
  <si>
    <t>正常（正本更新トランザクション）</t>
  </si>
  <si>
    <t>RULE-08・BD-03 §8.6</t>
  </si>
  <si>
    <t>TC-26</t>
  </si>
  <si>
    <t>異常（DB 例外ロールバック）</t>
  </si>
  <si>
    <t>BD-03 §8.6</t>
  </si>
  <si>
    <t>TC-27</t>
  </si>
  <si>
    <t>投影送信サービス.projectBooking</t>
  </si>
  <si>
    <t>正常（投影成功）</t>
  </si>
  <si>
    <t>REQ-018/019・RULE-11・IF-01</t>
  </si>
  <si>
    <t>TC-28</t>
  </si>
  <si>
    <t>異常（投影失敗）</t>
  </si>
  <si>
    <t>BD-09 §3.8・syncStatus=ERROR</t>
  </si>
  <si>
    <t>画面項目（S-xx-yy）・エラーメッセージ（MSG）一覧</t>
  </si>
  <si>
    <t>出典：BD-05 §3（screen-items.md）。MSG の新規採番は BD-05 のみ（単点採番宣言・screen-items.md:14）。</t>
  </si>
  <si>
    <t>■ 画面項目 ID（S-xx-yy・14 件：S-10-01〜04・S-11-01〜10）</t>
  </si>
  <si>
    <t>項目ID</t>
  </si>
  <si>
    <t>表示ラベル</t>
  </si>
  <si>
    <t>物理名</t>
  </si>
  <si>
    <t>参照先</t>
  </si>
  <si>
    <t>エラーメッセージID</t>
  </si>
  <si>
    <t>S-10-01</t>
  </si>
  <si>
    <t>ユーザー名</t>
  </si>
  <si>
    <t>Username</t>
  </si>
  <si>
    <t>Salesforce User（TERM-07）</t>
  </si>
  <si>
    <t>なし（標準動作）</t>
  </si>
  <si>
    <t>実態ベース記載</t>
  </si>
  <si>
    <t>✅ 既存（P0-1 構築済）</t>
  </si>
  <si>
    <t>S-10-02</t>
  </si>
  <si>
    <t>パスワード</t>
  </si>
  <si>
    <t>Password</t>
  </si>
  <si>
    <t>Salesforce User</t>
  </si>
  <si>
    <t>S-10-03</t>
  </si>
  <si>
    <t>（ボタン）</t>
  </si>
  <si>
    <t>なし</t>
  </si>
  <si>
    <t>S-10-04</t>
  </si>
  <si>
    <t>パスワードを忘れた場合</t>
  </si>
  <si>
    <t>（リンク）</t>
  </si>
  <si>
    <t>S-11-01</t>
  </si>
  <si>
    <t>予約番号</t>
  </si>
  <si>
    <t>AppointmentNumber__c</t>
  </si>
  <si>
    <t>BD-07 §3</t>
  </si>
  <si>
    <t>S-11-02</t>
  </si>
  <si>
    <t>予約日付</t>
  </si>
  <si>
    <t>AppointmentDate__c</t>
  </si>
  <si>
    <t>S-11-03</t>
  </si>
  <si>
    <t>時間枠</t>
  </si>
  <si>
    <t>TimeSlot__c</t>
  </si>
  <si>
    <t>S-11-04</t>
  </si>
  <si>
    <t>サービス名</t>
  </si>
  <si>
    <t>ServiceName__c</t>
  </si>
  <si>
    <t>S-11-05</t>
  </si>
  <si>
    <t>Status__c</t>
  </si>
  <si>
    <t>CD-03/CD-07</t>
  </si>
  <si>
    <t>canonical 値</t>
  </si>
  <si>
    <t>S-11-06</t>
  </si>
  <si>
    <t>キャンセル</t>
  </si>
  <si>
    <t>F-24・RULE-05/07</t>
  </si>
  <si>
    <t>MSG-03・MSG-04</t>
  </si>
  <si>
    <t>行級範囲内のみ操作可</t>
  </si>
  <si>
    <t>S-11-07</t>
  </si>
  <si>
    <t>処理状態</t>
  </si>
  <si>
    <t>Booking_Command__c.Status__c</t>
  </si>
  <si>
    <t>CD-08・F-24</t>
  </si>
  <si>
    <t>MSG-05・MSG-06</t>
  </si>
  <si>
    <t>ポーリング表示</t>
  </si>
  <si>
    <t>S-11-08</t>
  </si>
  <si>
    <t>再読み込み</t>
  </si>
  <si>
    <t>MSG-02</t>
  </si>
  <si>
    <t>S-11-09</t>
  </si>
  <si>
    <t>（内部）現行バージョン</t>
  </si>
  <si>
    <t>CurrentVersion__c</t>
  </si>
  <si>
    <t>BD-07 §3・TERM-10</t>
  </si>
  <si>
    <t>非表示・expectedVersion に利用</t>
  </si>
  <si>
    <t>S-11-10</t>
  </si>
  <si>
    <t>（内部）外部ID</t>
  </si>
  <si>
    <t>BookingExternalId__c</t>
  </si>
  <si>
    <t>BD-07 §3・TERM-14</t>
  </si>
  <si>
    <t>非表示・定位キー</t>
  </si>
  <si>
    <t>■ エラーメッセージ ID（MSG・6 件・全部 S-11）</t>
  </si>
  <si>
    <t>メッセージID</t>
  </si>
  <si>
    <t>メッセージ文面（設計値）</t>
  </si>
  <si>
    <t>表示条件</t>
  </si>
  <si>
    <t>対象画面</t>
  </si>
  <si>
    <t/>
  </si>
  <si>
    <t>表示できる予約データがありません</t>
  </si>
  <si>
    <t>自 Account の投影が 0 件のとき</t>
  </si>
  <si>
    <t>🔵 P0-4 計画（設計値）</t>
  </si>
  <si>
    <t>データの取得に失敗しました。再読み込みしてください</t>
  </si>
  <si>
    <t>投影照会・状態照会の通信エラー</t>
  </si>
  <si>
    <t>MSG-03</t>
  </si>
  <si>
    <t>この操作は許可されていません</t>
  </si>
  <si>
    <t>権限不足・行級範囲外の操作時</t>
  </si>
  <si>
    <t>MSG-04</t>
  </si>
  <si>
    <t>この予約はキャンセルできません</t>
  </si>
  <si>
    <t>CANCELLED／COMPLETED 投影への取消操作時</t>
  </si>
  <si>
    <t>MSG-05</t>
  </si>
  <si>
    <t>キャンセル処理が完了しませんでした（状態：{status}）。詳細は管理者に確認してください</t>
  </si>
  <si>
    <t>ポーリング結果が CONFLICT／FAILED のとき</t>
  </si>
  <si>
    <t>MSG-06</t>
  </si>
  <si>
    <t>キャンセルを受け付けました（受付番号：{commandId}）。状態が更新され次第表示されます</t>
  </si>
  <si>
    <t>コマンド受理（commandId／QUEUED 返却）直後</t>
  </si>
  <si>
    <t>課題（ISS）・決策（G/ADR）・CHK-01 内部 ID</t>
  </si>
  <si>
    <t>出典：RD-08（ISS）／interview-portfolio-tech-decisions.md §G・ADR（G/ADR）／CHK-01（内部 ID）。ISS は RD-08 外ゼロ参照の孤児系列（ID 台账 §5.3）。</t>
  </si>
  <si>
    <t>■ 課題一覧（ISS・8 件）</t>
  </si>
  <si>
    <t>課題ID</t>
  </si>
  <si>
    <t>課題内容（要約）</t>
  </si>
  <si>
    <t>影響度</t>
  </si>
  <si>
    <t>対応要件ID</t>
  </si>
  <si>
    <t>ISS-01</t>
  </si>
  <si>
    <t>システム間の情報分断：確認のたびに Booking へ別ログイン＋目視照合</t>
  </si>
  <si>
    <t>高</t>
  </si>
  <si>
    <t>REQ-016, REQ-017, REQ-018, REQ-020</t>
  </si>
  <si>
    <t>対応計画済・未着手（P0-2〜P0-4）</t>
  </si>
  <si>
    <t>ISS-02</t>
  </si>
  <si>
    <t>対応の滞留：取消が Booking 画面操作のみで SF 側から働きかけ不可</t>
  </si>
  <si>
    <t>中</t>
  </si>
  <si>
    <t>REQ-021, REQ-022, REQ-025</t>
  </si>
  <si>
    <t>ISS-03</t>
  </si>
  <si>
    <t>証跡・追跡性の欠如：相関 ID・エラー記録が存在しない</t>
  </si>
  <si>
    <t>REQ-027, REQ-031</t>
  </si>
  <si>
    <t>ISS-04</t>
  </si>
  <si>
    <t>個人情報の管理リスク：PII 統制方針が未定義</t>
  </si>
  <si>
    <t>REQ-019, REQ-030</t>
  </si>
  <si>
    <t>ISS-05</t>
  </si>
  <si>
    <t>データ権威の不明瞭化リスク：正本が不明瞭になり二重管理</t>
  </si>
  <si>
    <t>REQ-018, REQ-024, REQ-025, REQ-036</t>
  </si>
  <si>
    <t>ISS-06</t>
  </si>
  <si>
    <t>権限越境リスク：操作者特定の仕組みが未定義</t>
  </si>
  <si>
    <t>REQ-014, REQ-026, REQ-029, REQ-030</t>
  </si>
  <si>
    <t>ISS-07</t>
  </si>
  <si>
    <t>障害復旧が暫定的：Outbox/Worker 未導入・人手依存</t>
  </si>
  <si>
    <t>低〜中</t>
  </si>
  <si>
    <t>REQ-027, REQ-028（対応）／REQ-037（P1）</t>
  </si>
  <si>
    <t>部分対応（P0 手動 Retry・残り P1）</t>
  </si>
  <si>
    <t>ISS-08</t>
  </si>
  <si>
    <t>利用者ライフサイクル運用の非自動：手作業（事前設定 1 名）</t>
  </si>
  <si>
    <t>低</t>
  </si>
  <si>
    <t>REQ-038（P1）</t>
  </si>
  <si>
    <t>未対応（P1）</t>
  </si>
  <si>
    <t>■ G 決策寄存器（tech-decisions §G・7 件）</t>
  </si>
  <si>
    <t>G 番号</t>
  </si>
  <si>
    <t>引用分布</t>
  </si>
  <si>
    <t>G1</t>
  </si>
  <si>
    <t>—（語料無引用・無定義）</t>
  </si>
  <si>
    <t>未使用</t>
  </si>
  <si>
    <t>—（未使用）</t>
  </si>
  <si>
    <t>G2</t>
  </si>
  <si>
    <t>G3</t>
  </si>
  <si>
    <t>Named Credential 目標 URL 選定（dev compose vs booking-deploy）</t>
  </si>
  <si>
    <t>未決・P0-3 NC 設定前</t>
  </si>
  <si>
    <t>引用 7 件（寄存器に file:line 全清单）</t>
  </si>
  <si>
    <t>RD-01 §4 未決 3 と同源</t>
  </si>
  <si>
    <t>未決（P0-3 NC 設定前）</t>
  </si>
  <si>
    <t>G4</t>
  </si>
  <si>
    <t>RD-04 の mermaid ノード名 PG4 とは別物</t>
  </si>
  <si>
    <t>G5</t>
  </si>
  <si>
    <t>G6</t>
  </si>
  <si>
    <t>G7</t>
  </si>
  <si>
    <t>投影記録保持方針：①投影は正本クリーンアップ対象外 ②遅延コマンドは 404/409 判定</t>
  </si>
  <si>
    <t>方針已定・正式記録待ち（P0-2 凍結・CHK-01 C-3）</t>
  </si>
  <si>
    <t>引用 15 件（寄存器に file:line 全清单）</t>
  </si>
  <si>
    <t>REQ-033・RULE-15 例外欄と整合</t>
  </si>
  <si>
    <t>方針已定・決定記録待ち（P0-2）</t>
  </si>
  <si>
    <t>■ ADR（tech-decisions・2 件）</t>
  </si>
  <si>
    <t>ADR-1</t>
  </si>
  <si>
    <t>投影/命令リンクは Apex 三文献（BookingProjectionRest／BookingCommandQueueable／BookingSiteController）を維持。Flow 代替は評価のうえ否決</t>
  </si>
  <si>
    <t>tech-decisions §ADR-1</t>
  </si>
  <si>
    <t>✅ 決定済（2026-08-31）</t>
  </si>
  <si>
    <t>ADR-2</t>
  </si>
  <si>
    <t>P0 は Trigger なしを維持。バージョン防御は validation rule PRIORVALUE。P1 で 2 条件（CDC 防環・動的投影）を再評価</t>
  </si>
  <si>
    <t>tech-decisions §ADR-2</t>
  </si>
  <si>
    <t>■ 工程 ID（P0-n・ID 台账 §2.5・PPT-01 出典）</t>
  </si>
  <si>
    <t>工程 ID</t>
  </si>
  <si>
    <t>ゲート</t>
  </si>
  <si>
    <t>P0-0</t>
  </si>
  <si>
    <t>公開リスク止血（README）</t>
  </si>
  <si>
    <t>✅ 完了</t>
  </si>
  <si>
    <t>措施完了</t>
  </si>
  <si>
    <t>PR #4 合并</t>
  </si>
  <si>
    <t>P0-1</t>
  </si>
  <si>
    <t>Org/Site 前置条件</t>
  </si>
  <si>
    <t>✅ 閉鎖</t>
  </si>
  <si>
    <t>Site 到達・ログイン成功（MV-03）</t>
  </si>
  <si>
    <t>権限マトリクス凍結は P0-2 へ让渡</t>
  </si>
  <si>
    <t>P0-2</t>
  </si>
  <si>
    <t>データとコマンド契約凍結</t>
  </si>
  <si>
    <t>🔵 進行中</t>
  </si>
  <si>
    <t>CHK-01 §7 G-1〜G-3（双方独立実装可能）</t>
  </si>
  <si>
    <t>本ブックの母体資料</t>
  </si>
  <si>
    <t>P0-3</t>
  </si>
  <si>
    <t>サーバ縦断ループ</t>
  </si>
  <si>
    <t>⬜ 未着手</t>
  </si>
  <si>
    <t>MV-04/05/06・08〜11 自動化テスト合格</t>
  </si>
  <si>
    <t>BookingProjectionRest 等 Apex 三文献＋Booking 統合端点</t>
  </si>
  <si>
    <t>P0-4</t>
  </si>
  <si>
    <t>Site UI（LWC）</t>
  </si>
  <si>
    <t>MV-01〜03・07〜08 ブラウザ検証可</t>
  </si>
  <si>
    <t>S-11 独自 LWC・F-21 入口ボタン</t>
  </si>
  <si>
    <t>P0-5</t>
  </si>
  <si>
    <t>証跡パッケージ</t>
  </si>
  <si>
    <t>GO 判定（mvp-validation §8）</t>
  </si>
  <si>
    <t>MV-01〜11 全証跡</t>
  </si>
  <si>
    <t>P1</t>
  </si>
  <si>
    <t>Outbox/Worker・動的 provisioning・Retry UI・周期対合</t>
  </si>
  <si>
    <t>⚪ 保留</t>
  </si>
  <si>
    <t>—（P0 の前置条件ではない）</t>
  </si>
  <si>
    <t>REQ-037/038・RULE-10 UI</t>
  </si>
  <si>
    <t>■ CHK-01 内部 ID（5 系列・引用時は必ず CHK-01 限定符を付す）</t>
  </si>
  <si>
    <t>C-1〜C-7</t>
  </si>
  <si>
    <t>契約凍結事項（§3）</t>
  </si>
  <si>
    <t>tech-decisions G7 行が「CHK-01 C-3」形式で引用</t>
  </si>
  <si>
    <t>未決（P0-2 契約凍結時）</t>
  </si>
  <si>
    <t>B-1〜B-2</t>
  </si>
  <si>
    <t>migration 実施・差分レビュー（§4）</t>
  </si>
  <si>
    <t>未実施</t>
  </si>
  <si>
    <t>S-1〜S-5</t>
  </si>
  <si>
    <t>SF 側実施項（§5）※画面 S-01〜11 と前綴衝突</t>
  </si>
  <si>
    <t>ID 台账 §5.4 参照</t>
  </si>
  <si>
    <t>D-1〜D-4</t>
  </si>
  <si>
    <t>既存文書回写事項（§6）</t>
  </si>
  <si>
    <t>G-1〜G-3</t>
  </si>
  <si>
    <t>gate 判定（§7）※G 寄存器 G1〜G7 と前綴衝突</t>
  </si>
  <si>
    <t>連字符有無が口徑差</t>
  </si>
  <si>
    <t>未判定（gate）</t>
  </si>
  <si>
    <t>文書 ID 台帳（IDR-01 §2.1/§3 出典）</t>
  </si>
  <si>
    <t>◆＝定義源（采番処）。パスは docs/asset 相対。無 ID 文書 8 件は「—（無 ID）」行で収容。</t>
  </si>
  <si>
    <t>ファイル（docs/asset 相対）</t>
  </si>
  <si>
    <t>定義系列（◆＝定義源）</t>
  </si>
  <si>
    <t>REQ ◆</t>
  </si>
  <si>
    <t>✅ 作成済</t>
  </si>
  <si>
    <t>NFR ◆</t>
  </si>
  <si>
    <t>BIZ ◆</t>
  </si>
  <si>
    <t>RD-04</t>
  </si>
  <si>
    <t>requirement-definition/04_業務フロー.md</t>
  </si>
  <si>
    <t>図1〜7（局所）</t>
  </si>
  <si>
    <t>RULE ◆</t>
  </si>
  <si>
    <t>TERM ◆</t>
  </si>
  <si>
    <t>RD-07</t>
  </si>
  <si>
    <t>requirement-definition/07_システム化範囲.md</t>
  </si>
  <si>
    <t>ISS ◆（孤児系列）</t>
  </si>
  <si>
    <t>A1〜A4 ◆</t>
  </si>
  <si>
    <t>F ◆</t>
  </si>
  <si>
    <t>BD-03</t>
  </si>
  <si>
    <t>basic-design/function-design.md</t>
  </si>
  <si>
    <t>S ◆</t>
  </si>
  <si>
    <t>MSG ◆・S-xx-yy ◆</t>
  </si>
  <si>
    <t>BD-06</t>
  </si>
  <si>
    <t>basic-design/reports.md</t>
  </si>
  <si>
    <t>BD-07</t>
  </si>
  <si>
    <t>basic-design/erd.md</t>
  </si>
  <si>
    <t>CD ◆</t>
  </si>
  <si>
    <t>IF ◆</t>
  </si>
  <si>
    <t>BD-10</t>
  </si>
  <si>
    <t>basic-design/nonfunctional-design.md</t>
  </si>
  <si>
    <t>—（NFR 設計承接）</t>
  </si>
  <si>
    <t>CF ◆</t>
  </si>
  <si>
    <t>BD-12</t>
  </si>
  <si>
    <t>basic-design/data-migration.md</t>
  </si>
  <si>
    <t>DD-01</t>
  </si>
  <si>
    <t>detailed-design/table-definitions.md</t>
  </si>
  <si>
    <t>DD-02</t>
  </si>
  <si>
    <t>detailed-design/module-design.md</t>
  </si>
  <si>
    <t>DD-03</t>
  </si>
  <si>
    <t>detailed-design/batch-design.md</t>
  </si>
  <si>
    <t>TC ◆</t>
  </si>
  <si>
    <t>—（工程表）</t>
  </si>
  <si>
    <t>C/B/S/D/G- 内部 ID ◆</t>
  </si>
  <si>
    <t>ID 台账（本ブックの出处）</t>
  </si>
  <si>
    <t>MV ◆・P0-n ◆</t>
  </si>
  <si>
    <t>✅ 作成済（無 ID）</t>
  </si>
  <si>
    <t>experience-site-interview-mvp-focus.md</t>
  </si>
  <si>
    <t>experience-site-business-sequence.md</t>
  </si>
  <si>
    <t>ADR ◆・G ◆</t>
  </si>
  <si>
    <t>readme-salesforce-auth-template-audit.md</t>
  </si>
  <si>
    <t>requirement-definition-draft/interview-portfolio-business-flow.md</t>
  </si>
  <si>
    <t>requirement-definition-draft/interview-portfolio-business-overview.md</t>
  </si>
  <si>
    <t>requirement-definition-draft/interview-portfolio-business-sequence.md</t>
  </si>
  <si>
    <t>F2〜F5 局所段番号</t>
  </si>
  <si>
    <t>要件 × 機能　カバレッジ行列</t>
  </si>
  <si>
    <t>行=要件、列=機能。交叉格用下拉填「○」。蓝色=已建立对应。右侧合計为 0 的行会标红，说明该要件无人承接。</t>
  </si>
  <si>
    <t>要件＼機能</t>
  </si>
  <si>
    <t>合計</t>
  </si>
  <si>
    <t>○</t>
  </si>
  <si>
    <t>列計（各機能的要件数）</t>
  </si>
  <si>
    <t>機能 × 画面　カバレッジ行列</t>
  </si>
  <si>
    <t>行=機能、列=画面。交叉格用下拉填「○」。合計为 0 的机能可能是后台批处理（合理），也可能是画面漏设计，需逐条确认。</t>
  </si>
  <si>
    <t>機能＼画面</t>
  </si>
  <si>
    <t>列計（各画面的機能数）</t>
  </si>
  <si>
    <t>カバレッジ・サマリー（缺口检查看板）</t>
  </si>
  <si>
    <t>本页只读，全部由公式自动统计。目标：所有「未割当数」为 0，カバレッジ率 100%。</t>
  </si>
  <si>
    <t>检查项</t>
  </si>
  <si>
    <t>対象総数</t>
  </si>
  <si>
    <t>未割当数</t>
  </si>
  <si>
    <t>カバレッジ率</t>
  </si>
  <si>
    <t>未割当时的处置</t>
  </si>
  <si>
    <t>要件 → 機能（需求有没有人承接）</t>
  </si>
  <si>
    <t>补机能，或把该要件改成 Won't 并让客户签字确认</t>
  </si>
  <si>
    <t>機能 → 要件（机能有没有需求来源）</t>
  </si>
  <si>
    <t>追回对应要件；追不回的机能多半是范围蔓延，评估后砍掉</t>
  </si>
  <si>
    <t>機能 → 画面（机能有没有载体）</t>
  </si>
  <si>
    <t>批处理/后台机能可视为正常，其余需补画面设计</t>
  </si>
  <si>
    <t>画面 → 機能（画面有没有机能支撑）</t>
  </si>
  <si>
    <t>孤儿画面：补机能，或确认该画面本不该存在</t>
  </si>
  <si>
    <t>総合判定</t>
  </si>
  <si>
    <t>统计参考</t>
  </si>
  <si>
    <t>要件×機能 の打点数</t>
  </si>
  <si>
    <t>機能×画面 の打点数</t>
  </si>
  <si>
    <t>1 要件あたり平均機能数</t>
  </si>
  <si>
    <t>1 機能あたり平均画面数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</si>
</sst>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.0%"/>
  </numFmts>
  <fonts count="35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i/>
      <sz val="9"/>
      <color rgb="FF808080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2"/>
      <color rgb="FF000000"/>
      <name val="Microsoft YaHei"/>
      <charset val="134"/>
    </font>
    <font>
      <b/>
      <sz val="11"/>
      <color rgb="FF1F3864"/>
      <name val="Microsoft YaHei"/>
      <charset val="134"/>
    </font>
    <font>
      <b/>
      <sz val="9"/>
      <color rgb="FFFFFFFF"/>
      <name val="Microsoft YaHei"/>
      <charset val="134"/>
    </font>
    <font>
      <b/>
      <sz val="9"/>
      <color rgb="FF000000"/>
      <name val="Microsoft YaHei"/>
      <charset val="134"/>
    </font>
    <font>
      <b/>
      <sz val="12"/>
      <name val="宋体"/>
      <charset val="134"/>
      <scheme val="minor"/>
    </font>
    <font>
      <sz val="9"/>
      <color rgb="FF80808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i/>
      <sz val="10"/>
      <color rgb="FF808080"/>
      <name val="Microsoft YaHei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3" fontId="0" fillId="0" borderId="0">
      <alignment vertical="center"/>
    </xf>
    <xf numFmtId="178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9" borderId="4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5">
      <alignment vertical="center"/>
    </xf>
    <xf numFmtId="0" fontId="22" fillId="0" borderId="5">
      <alignment vertical="center"/>
    </xf>
    <xf numFmtId="0" fontId="23" fillId="0" borderId="6">
      <alignment vertical="center"/>
    </xf>
    <xf numFmtId="0" fontId="23" fillId="0" borderId="0">
      <alignment vertical="center"/>
    </xf>
    <xf numFmtId="0" fontId="24" fillId="10" borderId="7">
      <alignment vertical="center"/>
    </xf>
    <xf numFmtId="0" fontId="25" fillId="5" borderId="8">
      <alignment vertical="center"/>
    </xf>
    <xf numFmtId="0" fontId="26" fillId="5" borderId="7">
      <alignment vertical="center"/>
    </xf>
    <xf numFmtId="0" fontId="27" fillId="11" borderId="9">
      <alignment vertical="center"/>
    </xf>
    <xf numFmtId="0" fontId="28" fillId="0" borderId="10">
      <alignment vertical="center"/>
    </xf>
    <xf numFmtId="0" fontId="29" fillId="0" borderId="11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3" fillId="38" borderId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0" borderId="0" xfId="0" applyFont="1"/>
    <xf numFmtId="2" fontId="5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7" borderId="0" xfId="0" applyFont="1" applyFill="1"/>
    <xf numFmtId="0" fontId="13" fillId="8" borderId="0" xfId="0" applyFont="1" applyFill="1"/>
    <xf numFmtId="0" fontId="0" fillId="8" borderId="0" xfId="0" applyFill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pane ySplit="3" topLeftCell="A4" activePane="bottomLeft" state="frozen"/>
      <selection/>
      <selection pane="bottomLeft" activeCell="D23" sqref="D23"/>
    </sheetView>
  </sheetViews>
  <sheetFormatPr defaultColWidth="9" defaultRowHeight="13.5" outlineLevelCol="4"/>
  <cols>
    <col min="1" max="1" width="12" customWidth="1"/>
    <col min="2" max="2" width="44" customWidth="1"/>
    <col min="3" max="3" width="52" customWidth="1"/>
    <col min="4" max="4" width="76.625" customWidth="1"/>
    <col min="5" max="5" width="41.375" customWidth="1"/>
  </cols>
  <sheetData>
    <row r="1" ht="14.25" customHeight="1" spans="1:5">
      <c r="A1" s="19" t="s">
        <v>0</v>
      </c>
    </row>
    <row r="2" spans="1:5">
      <c r="A2" s="20" t="s">
        <v>1</v>
      </c>
    </row>
    <row r="3" spans="1:5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>
      <c r="A5" t="s">
        <v>12</v>
      </c>
      <c r="B5" t="s">
        <v>13</v>
      </c>
      <c r="C5" t="s">
        <v>14</v>
      </c>
      <c r="D5" t="s">
        <v>15</v>
      </c>
    </row>
    <row r="6" spans="1:5">
      <c r="A6" t="s">
        <v>16</v>
      </c>
      <c r="B6" t="s">
        <v>17</v>
      </c>
      <c r="C6" t="s">
        <v>18</v>
      </c>
      <c r="D6" t="s">
        <v>19</v>
      </c>
    </row>
    <row r="7" spans="1:5">
      <c r="A7" t="s">
        <v>20</v>
      </c>
      <c r="B7" t="s">
        <v>21</v>
      </c>
      <c r="C7" t="s">
        <v>22</v>
      </c>
      <c r="D7" t="s">
        <v>23</v>
      </c>
    </row>
    <row r="8" spans="1:5">
      <c r="A8" t="s">
        <v>24</v>
      </c>
      <c r="B8" t="s">
        <v>25</v>
      </c>
      <c r="C8" t="s">
        <v>26</v>
      </c>
      <c r="D8" t="s">
        <v>27</v>
      </c>
    </row>
    <row r="9" spans="1:5">
      <c r="A9" t="s">
        <v>28</v>
      </c>
      <c r="B9" t="s">
        <v>29</v>
      </c>
      <c r="C9" t="s">
        <v>30</v>
      </c>
      <c r="D9" t="s">
        <v>31</v>
      </c>
    </row>
    <row r="10" spans="1:5">
      <c r="A10" t="s">
        <v>32</v>
      </c>
      <c r="B10" t="s">
        <v>33</v>
      </c>
      <c r="C10" t="s">
        <v>34</v>
      </c>
      <c r="D10" t="s">
        <v>35</v>
      </c>
    </row>
    <row r="11" spans="1:5">
      <c r="A11" t="s">
        <v>36</v>
      </c>
      <c r="B11" t="s">
        <v>37</v>
      </c>
      <c r="C11" t="s">
        <v>38</v>
      </c>
      <c r="D11" t="s">
        <v>39</v>
      </c>
    </row>
    <row r="12" spans="1:5">
      <c r="A12" t="s">
        <v>40</v>
      </c>
      <c r="B12" t="s">
        <v>41</v>
      </c>
      <c r="C12" t="s">
        <v>42</v>
      </c>
      <c r="D12" t="s">
        <v>43</v>
      </c>
    </row>
    <row r="13" spans="1:5">
      <c r="A13" t="s">
        <v>44</v>
      </c>
      <c r="B13" t="s">
        <v>45</v>
      </c>
      <c r="C13" t="s">
        <v>46</v>
      </c>
      <c r="D13" t="s">
        <v>47</v>
      </c>
    </row>
    <row r="14" spans="1:5">
      <c r="A14" t="s">
        <v>48</v>
      </c>
      <c r="B14" t="s">
        <v>49</v>
      </c>
      <c r="C14" t="s">
        <v>50</v>
      </c>
      <c r="D14" t="s">
        <v>51</v>
      </c>
    </row>
    <row r="15" spans="1:5">
      <c r="A15" t="s">
        <v>52</v>
      </c>
      <c r="B15" t="s">
        <v>53</v>
      </c>
      <c r="C15" t="s">
        <v>54</v>
      </c>
      <c r="D15" t="s">
        <v>55</v>
      </c>
    </row>
    <row r="16" spans="1:5">
      <c r="A16" t="s">
        <v>56</v>
      </c>
      <c r="B16" t="s">
        <v>57</v>
      </c>
      <c r="C16" t="s">
        <v>58</v>
      </c>
      <c r="D16" t="s">
        <v>59</v>
      </c>
      <c r="E16" t="s">
        <v>60</v>
      </c>
    </row>
    <row r="17" spans="1:4">
      <c r="A17" t="s">
        <v>61</v>
      </c>
      <c r="B17" t="s">
        <v>62</v>
      </c>
      <c r="C17" t="s">
        <v>63</v>
      </c>
      <c r="D17" t="s">
        <v>64</v>
      </c>
    </row>
    <row r="18" spans="1:4">
      <c r="A18" t="s">
        <v>65</v>
      </c>
      <c r="B18" t="s">
        <v>66</v>
      </c>
      <c r="C18" t="s">
        <v>67</v>
      </c>
      <c r="D18" t="s">
        <v>68</v>
      </c>
    </row>
    <row r="19" spans="1:4">
      <c r="A19" t="s">
        <v>69</v>
      </c>
      <c r="B19" t="s">
        <v>70</v>
      </c>
      <c r="C19" t="s">
        <v>70</v>
      </c>
      <c r="D19" t="s">
        <v>71</v>
      </c>
    </row>
    <row r="20" spans="1:4">
      <c r="A20" t="s">
        <v>69</v>
      </c>
      <c r="B20" t="s">
        <v>72</v>
      </c>
      <c r="C20" t="s">
        <v>72</v>
      </c>
      <c r="D20" t="s">
        <v>73</v>
      </c>
    </row>
    <row r="21" spans="1:4">
      <c r="A21" t="s">
        <v>74</v>
      </c>
      <c r="B21" t="s">
        <v>75</v>
      </c>
      <c r="C21" t="s">
        <v>75</v>
      </c>
      <c r="D21" t="s">
        <v>76</v>
      </c>
    </row>
    <row r="22" spans="1:4">
      <c r="A22" t="s">
        <v>77</v>
      </c>
      <c r="B22" t="s">
        <v>78</v>
      </c>
      <c r="C22" t="s">
        <v>78</v>
      </c>
      <c r="D22" t="s">
        <v>79</v>
      </c>
    </row>
    <row r="23" spans="1:4">
      <c r="A23" t="s">
        <v>80</v>
      </c>
      <c r="B23" t="s">
        <v>81</v>
      </c>
      <c r="C23" t="s">
        <v>82</v>
      </c>
      <c r="D23" t="s">
        <v>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D38"/>
  <sheetViews>
    <sheetView workbookViewId="0">
      <selection activeCell="A1" sqref="A1:C1"/>
    </sheetView>
  </sheetViews>
  <sheetFormatPr defaultColWidth="9" defaultRowHeight="13.5" outlineLevelCol="3"/>
  <cols>
    <col min="1" max="1" width="4" customWidth="1"/>
    <col min="2" max="2" width="22" customWidth="1"/>
    <col min="3" max="3" width="96" customWidth="1"/>
  </cols>
  <sheetData>
    <row r="1" ht="26" customHeight="1" spans="1:4">
      <c r="A1" s="1" t="s">
        <v>84</v>
      </c>
    </row>
    <row r="2" ht="22" customHeight="1" spans="1:4">
      <c r="A2" s="2" t="s">
        <v>85</v>
      </c>
    </row>
    <row r="4" ht="34" customHeight="1" spans="1:4">
      <c r="B4" s="3" t="s">
        <v>86</v>
      </c>
      <c r="C4" s="26" t="s">
        <v>87</v>
      </c>
      <c r="D4" s="26" t="s">
        <v>88</v>
      </c>
    </row>
    <row r="5" ht="34" customHeight="1" spans="1:4">
      <c r="B5" s="27" t="s">
        <v>89</v>
      </c>
      <c r="C5" s="8" t="s">
        <v>90</v>
      </c>
      <c r="D5" s="8" t="s">
        <v>91</v>
      </c>
    </row>
    <row r="6" ht="34" customHeight="1" spans="1:4">
      <c r="B6" s="27" t="s">
        <v>92</v>
      </c>
      <c r="C6" s="8" t="s">
        <v>93</v>
      </c>
      <c r="D6" s="8" t="s">
        <v>94</v>
      </c>
    </row>
    <row r="7" ht="34" customHeight="1" spans="1:4">
      <c r="B7" s="27" t="s">
        <v>95</v>
      </c>
      <c r="C7" s="8" t="s">
        <v>96</v>
      </c>
      <c r="D7" s="8" t="s">
        <v>97</v>
      </c>
    </row>
    <row r="8" ht="34" customHeight="1" spans="1:4">
      <c r="B8" s="27" t="s">
        <v>98</v>
      </c>
      <c r="C8" s="8" t="s">
        <v>99</v>
      </c>
      <c r="D8" s="8" t="s">
        <v>100</v>
      </c>
    </row>
    <row r="9" ht="34" customHeight="1" spans="1:4">
      <c r="B9" s="27" t="s">
        <v>101</v>
      </c>
      <c r="C9" s="8" t="s">
        <v>102</v>
      </c>
      <c r="D9" s="8" t="s">
        <v>103</v>
      </c>
    </row>
    <row r="10" ht="34" customHeight="1" spans="1:4">
      <c r="B10" s="27" t="s">
        <v>104</v>
      </c>
      <c r="C10" s="8" t="s">
        <v>105</v>
      </c>
      <c r="D10" s="8" t="s">
        <v>106</v>
      </c>
    </row>
    <row r="11" ht="34" customHeight="1" spans="1:4">
      <c r="B11" s="27" t="s">
        <v>107</v>
      </c>
      <c r="C11" s="8" t="s">
        <v>108</v>
      </c>
      <c r="D11" s="8" t="s">
        <v>109</v>
      </c>
    </row>
    <row r="12" ht="34" customHeight="1" spans="1:4">
      <c r="B12" s="27" t="s">
        <v>110</v>
      </c>
      <c r="C12" s="8" t="s">
        <v>111</v>
      </c>
      <c r="D12" s="8" t="s">
        <v>112</v>
      </c>
    </row>
    <row r="14" ht="15" customHeight="1" spans="1:4">
      <c r="B14" s="13" t="s">
        <v>113</v>
      </c>
    </row>
    <row r="15" ht="30" customHeight="1" spans="1:4">
      <c r="B15" s="27" t="s">
        <v>114</v>
      </c>
      <c r="C15" s="8" t="s">
        <v>115</v>
      </c>
    </row>
    <row r="16" ht="30" customHeight="1" spans="1:4">
      <c r="B16" s="27" t="s">
        <v>116</v>
      </c>
      <c r="C16" s="8" t="s">
        <v>117</v>
      </c>
    </row>
    <row r="17" ht="30" customHeight="1" spans="1:3">
      <c r="B17" s="27" t="s">
        <v>118</v>
      </c>
      <c r="C17" s="8" t="s">
        <v>119</v>
      </c>
    </row>
    <row r="18" ht="30" customHeight="1" spans="1:3">
      <c r="B18" s="27" t="s">
        <v>120</v>
      </c>
      <c r="C18" s="8" t="s">
        <v>121</v>
      </c>
    </row>
    <row r="19" ht="30" customHeight="1" spans="1:3">
      <c r="B19" s="27" t="s">
        <v>122</v>
      </c>
      <c r="C19" s="8" t="s">
        <v>123</v>
      </c>
    </row>
    <row r="21" ht="15" customHeight="1" spans="1:3">
      <c r="B21" s="13" t="s">
        <v>124</v>
      </c>
    </row>
    <row r="22" ht="30" customHeight="1" spans="1:3">
      <c r="B22" s="8" t="s">
        <v>125</v>
      </c>
      <c r="C22" s="12"/>
    </row>
    <row r="23" ht="30" customHeight="1" spans="1:3">
      <c r="B23" s="8" t="s">
        <v>126</v>
      </c>
      <c r="C23" s="12"/>
    </row>
    <row r="24" ht="30" customHeight="1" spans="1:3">
      <c r="B24" s="8" t="s">
        <v>127</v>
      </c>
      <c r="C24" s="12"/>
    </row>
    <row r="25" ht="30" customHeight="1" spans="1:3">
      <c r="B25" s="8" t="s">
        <v>128</v>
      </c>
      <c r="C25" s="12"/>
    </row>
    <row r="27" spans="1:3">
      <c r="A27" s="28" t="s">
        <v>129</v>
      </c>
    </row>
    <row r="28" spans="1:3">
      <c r="A28" s="29" t="s">
        <v>130</v>
      </c>
    </row>
    <row r="29" spans="1:3">
      <c r="A29" s="29" t="s">
        <v>131</v>
      </c>
    </row>
    <row r="30" spans="1:3">
      <c r="A30" s="29" t="s">
        <v>132</v>
      </c>
    </row>
    <row r="31" spans="1:3">
      <c r="A31" s="29" t="s">
        <v>133</v>
      </c>
    </row>
    <row r="32" spans="1:3">
      <c r="A32" s="29" t="s">
        <v>134</v>
      </c>
    </row>
    <row r="33" spans="1:1">
      <c r="A33" s="29" t="s">
        <v>135</v>
      </c>
    </row>
    <row r="34" spans="1:1">
      <c r="A34" s="29" t="s">
        <v>136</v>
      </c>
    </row>
    <row r="35" spans="1:1">
      <c r="A35" s="29" t="s">
        <v>137</v>
      </c>
    </row>
    <row r="36" spans="1:1">
      <c r="A36" s="29" t="s">
        <v>138</v>
      </c>
    </row>
    <row r="37" spans="1:1">
      <c r="A37" s="29" t="s">
        <v>139</v>
      </c>
    </row>
    <row r="38" spans="1:1">
      <c r="A38" s="29" t="s">
        <v>140</v>
      </c>
    </row>
  </sheetData>
  <mergeCells count="6">
    <mergeCell ref="A1:C1"/>
    <mergeCell ref="A2:C2"/>
    <mergeCell ref="B22:C22"/>
    <mergeCell ref="B23:C23"/>
    <mergeCell ref="B24:C24"/>
    <mergeCell ref="B25:C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K63"/>
  <sheetViews>
    <sheetView workbookViewId="0">
      <pane xSplit="1" ySplit="3" topLeftCell="B47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3.5"/>
  <cols>
    <col min="1" max="1" width="12" customWidth="1"/>
    <col min="2" max="2" width="34" customWidth="1"/>
    <col min="3" max="3" width="12" customWidth="1"/>
    <col min="4" max="4" width="22" customWidth="1"/>
    <col min="5" max="5" width="12" customWidth="1"/>
    <col min="6" max="6" width="30" customWidth="1"/>
    <col min="7" max="7" width="12" customWidth="1"/>
    <col min="8" max="8" width="11" customWidth="1"/>
    <col min="9" max="9" width="14" customWidth="1"/>
    <col min="11" max="11" width="26" customWidth="1"/>
  </cols>
  <sheetData>
    <row r="1" ht="26" customHeight="1" spans="1:11">
      <c r="A1" s="1" t="s">
        <v>141</v>
      </c>
    </row>
    <row r="2" ht="22" customHeight="1" spans="1:11">
      <c r="A2" s="2" t="s">
        <v>142</v>
      </c>
    </row>
    <row r="3" ht="30" customHeight="1" spans="1:11">
      <c r="A3" s="3" t="s">
        <v>143</v>
      </c>
      <c r="B3" s="3" t="s">
        <v>144</v>
      </c>
      <c r="C3" s="3" t="s">
        <v>145</v>
      </c>
      <c r="D3" s="3" t="s">
        <v>146</v>
      </c>
      <c r="E3" s="3" t="s">
        <v>147</v>
      </c>
      <c r="F3" s="3" t="s">
        <v>148</v>
      </c>
      <c r="G3" s="3" t="s">
        <v>149</v>
      </c>
      <c r="H3" s="3" t="s">
        <v>150</v>
      </c>
      <c r="I3" s="3" t="s">
        <v>151</v>
      </c>
      <c r="J3" s="3" t="s">
        <v>152</v>
      </c>
      <c r="K3" s="3" t="s">
        <v>153</v>
      </c>
    </row>
    <row r="4" ht="49.5" customHeight="1" spans="1:11">
      <c r="A4" s="24" t="s">
        <v>154</v>
      </c>
      <c r="B4" s="25" t="s">
        <v>155</v>
      </c>
      <c r="C4" s="24" t="s">
        <v>156</v>
      </c>
      <c r="D4" s="25" t="s">
        <v>157</v>
      </c>
      <c r="E4" s="24" t="s">
        <v>158</v>
      </c>
      <c r="F4" s="25" t="s">
        <v>159</v>
      </c>
      <c r="G4" s="24" t="s">
        <v>160</v>
      </c>
      <c r="H4" s="5">
        <f>IF($A4="","",'14.要件×機能行列'!$BJ4)</f>
        <v>1</v>
      </c>
      <c r="I4" s="6" t="str">
        <f t="shared" ref="I4:I41" si="0">IF($A4="","",IF($H4="","",IF($H4=0,"⚠ 未割当","OK")))</f>
        <v>OK</v>
      </c>
      <c r="J4" t="s">
        <v>161</v>
      </c>
      <c r="K4" t="s">
        <v>162</v>
      </c>
    </row>
    <row r="5" ht="66" customHeight="1" spans="1:11">
      <c r="A5" s="24" t="s">
        <v>163</v>
      </c>
      <c r="B5" s="25" t="s">
        <v>164</v>
      </c>
      <c r="C5" s="24" t="s">
        <v>156</v>
      </c>
      <c r="D5" s="25" t="s">
        <v>165</v>
      </c>
      <c r="E5" s="24" t="s">
        <v>158</v>
      </c>
      <c r="F5" s="25" t="s">
        <v>166</v>
      </c>
      <c r="G5" s="24" t="s">
        <v>160</v>
      </c>
      <c r="H5" s="5">
        <f>IF($A5="","",'14.要件×機能行列'!$BJ5)</f>
        <v>1</v>
      </c>
      <c r="I5" s="6" t="str">
        <f t="shared" si="0"/>
        <v>OK</v>
      </c>
      <c r="J5" t="s">
        <v>167</v>
      </c>
      <c r="K5" t="s">
        <v>162</v>
      </c>
    </row>
    <row r="6" ht="49.5" customHeight="1" spans="1:11">
      <c r="A6" s="24" t="s">
        <v>168</v>
      </c>
      <c r="B6" s="25" t="s">
        <v>169</v>
      </c>
      <c r="C6" s="24" t="s">
        <v>156</v>
      </c>
      <c r="D6" s="25" t="s">
        <v>170</v>
      </c>
      <c r="E6" s="24" t="s">
        <v>158</v>
      </c>
      <c r="F6" s="25" t="s">
        <v>171</v>
      </c>
      <c r="G6" s="24" t="s">
        <v>160</v>
      </c>
      <c r="H6" s="5">
        <f>IF($A6="","",'14.要件×機能行列'!$BJ6)</f>
        <v>1</v>
      </c>
      <c r="I6" s="6" t="str">
        <f t="shared" si="0"/>
        <v>OK</v>
      </c>
      <c r="J6" t="s">
        <v>167</v>
      </c>
      <c r="K6" t="s">
        <v>162</v>
      </c>
    </row>
    <row r="7" ht="33" customHeight="1" spans="1:11">
      <c r="A7" s="24" t="s">
        <v>172</v>
      </c>
      <c r="B7" s="25" t="s">
        <v>173</v>
      </c>
      <c r="C7" s="24" t="s">
        <v>156</v>
      </c>
      <c r="D7" s="25" t="s">
        <v>174</v>
      </c>
      <c r="E7" s="24" t="s">
        <v>158</v>
      </c>
      <c r="F7" s="25" t="s">
        <v>175</v>
      </c>
      <c r="G7" s="24" t="s">
        <v>160</v>
      </c>
      <c r="H7" s="5">
        <f>IF($A7="","",'14.要件×機能行列'!$BJ7)</f>
        <v>1</v>
      </c>
      <c r="I7" s="6" t="str">
        <f t="shared" si="0"/>
        <v>OK</v>
      </c>
      <c r="J7" t="s">
        <v>176</v>
      </c>
      <c r="K7" t="s">
        <v>162</v>
      </c>
    </row>
    <row r="8" ht="49.5" customHeight="1" spans="1:11">
      <c r="A8" s="24" t="s">
        <v>177</v>
      </c>
      <c r="B8" s="25" t="s">
        <v>178</v>
      </c>
      <c r="C8" s="24" t="s">
        <v>156</v>
      </c>
      <c r="D8" s="25" t="s">
        <v>179</v>
      </c>
      <c r="E8" s="24" t="s">
        <v>158</v>
      </c>
      <c r="F8" s="25" t="s">
        <v>180</v>
      </c>
      <c r="G8" s="24" t="s">
        <v>160</v>
      </c>
      <c r="H8" s="5">
        <f>IF($A8="","",'14.要件×機能行列'!$BJ8)</f>
        <v>1</v>
      </c>
      <c r="I8" s="6" t="str">
        <f t="shared" si="0"/>
        <v>OK</v>
      </c>
      <c r="J8" t="s">
        <v>176</v>
      </c>
      <c r="K8" t="s">
        <v>162</v>
      </c>
    </row>
    <row r="9" ht="66" customHeight="1" spans="1:11">
      <c r="A9" s="24" t="s">
        <v>181</v>
      </c>
      <c r="B9" s="25" t="s">
        <v>182</v>
      </c>
      <c r="C9" s="24" t="s">
        <v>156</v>
      </c>
      <c r="D9" s="25" t="s">
        <v>183</v>
      </c>
      <c r="E9" s="24" t="s">
        <v>158</v>
      </c>
      <c r="F9" s="25" t="s">
        <v>184</v>
      </c>
      <c r="G9" s="24" t="s">
        <v>160</v>
      </c>
      <c r="H9" s="5">
        <f>IF($A9="","",'14.要件×機能行列'!$BJ9)</f>
        <v>1</v>
      </c>
      <c r="I9" s="6" t="str">
        <f t="shared" si="0"/>
        <v>OK</v>
      </c>
      <c r="J9" t="s">
        <v>176</v>
      </c>
      <c r="K9" t="s">
        <v>162</v>
      </c>
    </row>
    <row r="10" ht="49.5" customHeight="1" spans="1:11">
      <c r="A10" s="24" t="s">
        <v>185</v>
      </c>
      <c r="B10" s="25" t="s">
        <v>186</v>
      </c>
      <c r="C10" s="24" t="s">
        <v>156</v>
      </c>
      <c r="D10" s="25" t="s">
        <v>187</v>
      </c>
      <c r="E10" s="24" t="s">
        <v>158</v>
      </c>
      <c r="F10" s="25" t="s">
        <v>188</v>
      </c>
      <c r="G10" s="24" t="s">
        <v>160</v>
      </c>
      <c r="H10" s="5">
        <f>IF($A10="","",'14.要件×機能行列'!$BJ10)</f>
        <v>1</v>
      </c>
      <c r="I10" s="6" t="str">
        <f t="shared" si="0"/>
        <v>OK</v>
      </c>
      <c r="J10" t="s">
        <v>189</v>
      </c>
      <c r="K10" t="s">
        <v>162</v>
      </c>
    </row>
    <row r="11" ht="82.5" customHeight="1" spans="1:11">
      <c r="A11" s="24" t="s">
        <v>190</v>
      </c>
      <c r="B11" s="25" t="s">
        <v>191</v>
      </c>
      <c r="C11" s="24" t="s">
        <v>156</v>
      </c>
      <c r="D11" s="25" t="s">
        <v>192</v>
      </c>
      <c r="E11" s="24" t="s">
        <v>158</v>
      </c>
      <c r="F11" s="25" t="s">
        <v>193</v>
      </c>
      <c r="G11" s="24" t="s">
        <v>160</v>
      </c>
      <c r="H11" s="5">
        <f>IF($A11="","",'14.要件×機能行列'!$BJ11)</f>
        <v>1</v>
      </c>
      <c r="I11" s="6" t="str">
        <f t="shared" si="0"/>
        <v>OK</v>
      </c>
      <c r="J11" t="s">
        <v>194</v>
      </c>
      <c r="K11" t="s">
        <v>162</v>
      </c>
    </row>
    <row r="12" ht="49.5" customHeight="1" spans="1:11">
      <c r="A12" s="5" t="s">
        <v>195</v>
      </c>
      <c r="B12" s="8" t="s">
        <v>196</v>
      </c>
      <c r="C12" s="5" t="s">
        <v>156</v>
      </c>
      <c r="D12" s="8" t="s">
        <v>197</v>
      </c>
      <c r="E12" s="5" t="s">
        <v>198</v>
      </c>
      <c r="F12" s="8" t="s">
        <v>199</v>
      </c>
      <c r="G12" s="5" t="s">
        <v>160</v>
      </c>
      <c r="H12" s="5">
        <f>IF($A12="","",'14.要件×機能行列'!$BJ12)</f>
        <v>1</v>
      </c>
      <c r="I12" s="6" t="str">
        <f t="shared" si="0"/>
        <v>OK</v>
      </c>
      <c r="J12" t="s">
        <v>200</v>
      </c>
      <c r="K12" t="s">
        <v>162</v>
      </c>
    </row>
    <row r="13" ht="49.5" customHeight="1" spans="1:11">
      <c r="A13" s="5" t="s">
        <v>201</v>
      </c>
      <c r="B13" s="8" t="s">
        <v>202</v>
      </c>
      <c r="C13" s="5" t="s">
        <v>156</v>
      </c>
      <c r="D13" s="8" t="s">
        <v>203</v>
      </c>
      <c r="E13" s="5" t="s">
        <v>158</v>
      </c>
      <c r="F13" s="8" t="s">
        <v>204</v>
      </c>
      <c r="G13" s="5" t="s">
        <v>160</v>
      </c>
      <c r="H13" s="5">
        <f>IF($A13="","",'14.要件×機能行列'!$BJ13)</f>
        <v>1</v>
      </c>
      <c r="I13" s="6" t="str">
        <f t="shared" si="0"/>
        <v>OK</v>
      </c>
      <c r="J13" t="s">
        <v>205</v>
      </c>
      <c r="K13" t="s">
        <v>162</v>
      </c>
    </row>
    <row r="14" ht="49.5" customHeight="1" spans="1:11">
      <c r="A14" s="5" t="s">
        <v>206</v>
      </c>
      <c r="B14" s="8" t="s">
        <v>207</v>
      </c>
      <c r="C14" s="5" t="s">
        <v>156</v>
      </c>
      <c r="D14" s="8" t="s">
        <v>208</v>
      </c>
      <c r="E14" s="5" t="s">
        <v>158</v>
      </c>
      <c r="F14" s="8" t="s">
        <v>209</v>
      </c>
      <c r="G14" s="5" t="s">
        <v>160</v>
      </c>
      <c r="H14" s="5">
        <f>IF($A14="","",'14.要件×機能行列'!$BJ14)</f>
        <v>1</v>
      </c>
      <c r="I14" s="6" t="str">
        <f t="shared" si="0"/>
        <v>OK</v>
      </c>
      <c r="J14" t="s">
        <v>210</v>
      </c>
      <c r="K14" t="s">
        <v>162</v>
      </c>
    </row>
    <row r="15" ht="49.5" customHeight="1" spans="1:11">
      <c r="A15" s="5" t="s">
        <v>211</v>
      </c>
      <c r="B15" s="8" t="s">
        <v>212</v>
      </c>
      <c r="C15" s="5" t="s">
        <v>156</v>
      </c>
      <c r="D15" s="8" t="s">
        <v>213</v>
      </c>
      <c r="E15" s="5" t="s">
        <v>158</v>
      </c>
      <c r="F15" s="8" t="s">
        <v>214</v>
      </c>
      <c r="G15" s="5" t="s">
        <v>160</v>
      </c>
      <c r="H15" s="5">
        <f>IF($A15="","",'14.要件×機能行列'!$BJ15)</f>
        <v>1</v>
      </c>
      <c r="I15" s="6" t="str">
        <f t="shared" si="0"/>
        <v>OK</v>
      </c>
      <c r="J15" t="s">
        <v>210</v>
      </c>
      <c r="K15" t="s">
        <v>162</v>
      </c>
    </row>
    <row r="16" ht="49.5" customHeight="1" spans="1:11">
      <c r="A16" s="5" t="s">
        <v>215</v>
      </c>
      <c r="B16" s="8" t="s">
        <v>216</v>
      </c>
      <c r="C16" s="5" t="s">
        <v>156</v>
      </c>
      <c r="D16" s="8" t="s">
        <v>217</v>
      </c>
      <c r="E16" s="5" t="s">
        <v>158</v>
      </c>
      <c r="F16" s="8" t="s">
        <v>218</v>
      </c>
      <c r="G16" s="5" t="s">
        <v>160</v>
      </c>
      <c r="H16" s="5">
        <f>IF($A16="","",'14.要件×機能行列'!$BJ16)</f>
        <v>1</v>
      </c>
      <c r="I16" s="6" t="str">
        <f t="shared" si="0"/>
        <v>OK</v>
      </c>
      <c r="J16" t="s">
        <v>219</v>
      </c>
      <c r="K16" t="s">
        <v>162</v>
      </c>
    </row>
    <row r="17" ht="66" customHeight="1" spans="1:11">
      <c r="A17" s="5" t="s">
        <v>220</v>
      </c>
      <c r="B17" s="8" t="s">
        <v>221</v>
      </c>
      <c r="C17" s="5" t="s">
        <v>156</v>
      </c>
      <c r="D17" s="8" t="s">
        <v>222</v>
      </c>
      <c r="E17" s="5" t="s">
        <v>158</v>
      </c>
      <c r="F17" s="8" t="s">
        <v>223</v>
      </c>
      <c r="G17" s="5" t="s">
        <v>160</v>
      </c>
      <c r="H17" s="5">
        <f>IF($A17="","",'14.要件×機能行列'!$BJ17)</f>
        <v>13</v>
      </c>
      <c r="I17" s="6" t="str">
        <f t="shared" si="0"/>
        <v>OK</v>
      </c>
      <c r="J17" t="s">
        <v>224</v>
      </c>
      <c r="K17" t="s">
        <v>162</v>
      </c>
    </row>
    <row r="18" ht="82.5" customHeight="1" spans="1:11">
      <c r="A18" s="5" t="s">
        <v>225</v>
      </c>
      <c r="B18" s="8" t="s">
        <v>226</v>
      </c>
      <c r="C18" s="5" t="s">
        <v>156</v>
      </c>
      <c r="D18" s="8" t="s">
        <v>227</v>
      </c>
      <c r="E18" s="5" t="s">
        <v>228</v>
      </c>
      <c r="F18" s="8" t="s">
        <v>229</v>
      </c>
      <c r="G18" s="5" t="s">
        <v>160</v>
      </c>
      <c r="H18" s="5">
        <f>IF($A18="","",'14.要件×機能行列'!$BJ18)</f>
        <v>1</v>
      </c>
      <c r="I18" s="6" t="str">
        <f t="shared" si="0"/>
        <v>OK</v>
      </c>
      <c r="J18" t="s">
        <v>219</v>
      </c>
      <c r="K18" t="s">
        <v>162</v>
      </c>
    </row>
    <row r="19" ht="99" customHeight="1" spans="1:11">
      <c r="A19" s="5" t="s">
        <v>230</v>
      </c>
      <c r="B19" s="8" t="s">
        <v>231</v>
      </c>
      <c r="C19" s="5" t="s">
        <v>156</v>
      </c>
      <c r="D19" s="8" t="s">
        <v>232</v>
      </c>
      <c r="E19" s="5" t="s">
        <v>158</v>
      </c>
      <c r="F19" s="8" t="s">
        <v>233</v>
      </c>
      <c r="G19" s="5" t="s">
        <v>234</v>
      </c>
      <c r="H19" s="5">
        <f>IF($A19="","",'14.要件×機能行列'!$BJ19)</f>
        <v>1</v>
      </c>
      <c r="I19" s="6" t="str">
        <f t="shared" si="0"/>
        <v>OK</v>
      </c>
      <c r="J19" t="s">
        <v>235</v>
      </c>
      <c r="K19" t="s">
        <v>236</v>
      </c>
    </row>
    <row r="20" ht="66" customHeight="1" spans="1:11">
      <c r="A20" s="5" t="s">
        <v>237</v>
      </c>
      <c r="B20" s="8" t="s">
        <v>238</v>
      </c>
      <c r="C20" s="5" t="s">
        <v>156</v>
      </c>
      <c r="D20" s="8" t="s">
        <v>239</v>
      </c>
      <c r="E20" s="5" t="s">
        <v>158</v>
      </c>
      <c r="F20" s="8" t="s">
        <v>240</v>
      </c>
      <c r="G20" s="5" t="s">
        <v>241</v>
      </c>
      <c r="H20" s="5">
        <f>IF($A20="","",'14.要件×機能行列'!$BJ20)</f>
        <v>1</v>
      </c>
      <c r="I20" s="6" t="str">
        <f t="shared" si="0"/>
        <v>OK</v>
      </c>
      <c r="J20" t="s">
        <v>242</v>
      </c>
      <c r="K20" t="s">
        <v>243</v>
      </c>
    </row>
    <row r="21" ht="115.5" customHeight="1" spans="1:11">
      <c r="A21" s="5" t="s">
        <v>244</v>
      </c>
      <c r="B21" s="8" t="s">
        <v>245</v>
      </c>
      <c r="C21" s="5" t="s">
        <v>156</v>
      </c>
      <c r="D21" s="8" t="s">
        <v>246</v>
      </c>
      <c r="E21" s="5" t="s">
        <v>158</v>
      </c>
      <c r="F21" s="8" t="s">
        <v>247</v>
      </c>
      <c r="G21" s="5" t="s">
        <v>248</v>
      </c>
      <c r="H21" s="5">
        <f>IF($A21="","",'14.要件×機能行列'!$BJ21)</f>
        <v>1</v>
      </c>
      <c r="I21" s="6" t="str">
        <f t="shared" si="0"/>
        <v>OK</v>
      </c>
      <c r="J21" t="s">
        <v>249</v>
      </c>
      <c r="K21" t="s">
        <v>250</v>
      </c>
    </row>
    <row r="22" ht="66" customHeight="1" spans="1:11">
      <c r="A22" s="5" t="s">
        <v>251</v>
      </c>
      <c r="B22" s="8" t="s">
        <v>252</v>
      </c>
      <c r="C22" s="5" t="s">
        <v>253</v>
      </c>
      <c r="D22" s="8" t="s">
        <v>254</v>
      </c>
      <c r="E22" s="5" t="s">
        <v>158</v>
      </c>
      <c r="F22" s="8" t="s">
        <v>255</v>
      </c>
      <c r="G22" s="5" t="s">
        <v>256</v>
      </c>
      <c r="H22" s="5">
        <f>IF($A22="","",'14.要件×機能行列'!$BJ22)</f>
        <v>1</v>
      </c>
      <c r="I22" s="6" t="str">
        <f t="shared" si="0"/>
        <v>OK</v>
      </c>
      <c r="J22" t="s">
        <v>249</v>
      </c>
      <c r="K22" t="s">
        <v>257</v>
      </c>
    </row>
    <row r="23" ht="66" customHeight="1" spans="1:11">
      <c r="A23" s="5" t="s">
        <v>258</v>
      </c>
      <c r="B23" s="8" t="s">
        <v>259</v>
      </c>
      <c r="C23" s="5" t="s">
        <v>156</v>
      </c>
      <c r="D23" s="8" t="s">
        <v>239</v>
      </c>
      <c r="E23" s="5" t="s">
        <v>158</v>
      </c>
      <c r="F23" s="8" t="s">
        <v>260</v>
      </c>
      <c r="G23" s="5" t="s">
        <v>241</v>
      </c>
      <c r="H23" s="5">
        <f>IF($A23="","",'14.要件×機能行列'!$BJ23)</f>
        <v>1</v>
      </c>
      <c r="I23" s="6" t="str">
        <f t="shared" si="0"/>
        <v>OK</v>
      </c>
      <c r="J23" t="s">
        <v>261</v>
      </c>
      <c r="K23" t="s">
        <v>243</v>
      </c>
    </row>
    <row r="24" ht="66" customHeight="1" spans="1:11">
      <c r="A24" s="5" t="s">
        <v>262</v>
      </c>
      <c r="B24" s="8" t="s">
        <v>263</v>
      </c>
      <c r="C24" s="5" t="s">
        <v>156</v>
      </c>
      <c r="D24" s="8" t="s">
        <v>264</v>
      </c>
      <c r="E24" s="5" t="s">
        <v>158</v>
      </c>
      <c r="F24" s="8" t="s">
        <v>265</v>
      </c>
      <c r="G24" s="5" t="s">
        <v>266</v>
      </c>
      <c r="H24" s="5">
        <f>IF($A24="","",'14.要件×機能行列'!$BJ24)</f>
        <v>1</v>
      </c>
      <c r="I24" s="6" t="str">
        <f t="shared" si="0"/>
        <v>OK</v>
      </c>
      <c r="J24" t="s">
        <v>267</v>
      </c>
      <c r="K24" t="s">
        <v>268</v>
      </c>
    </row>
    <row r="25" ht="66" customHeight="1" spans="1:11">
      <c r="A25" s="5" t="s">
        <v>269</v>
      </c>
      <c r="B25" s="8" t="s">
        <v>270</v>
      </c>
      <c r="C25" s="5" t="s">
        <v>156</v>
      </c>
      <c r="D25" s="8" t="s">
        <v>246</v>
      </c>
      <c r="E25" s="5" t="s">
        <v>158</v>
      </c>
      <c r="F25" s="8" t="s">
        <v>271</v>
      </c>
      <c r="G25" s="5" t="s">
        <v>248</v>
      </c>
      <c r="H25" s="5">
        <f>IF($A25="","",'14.要件×機能行列'!$BJ25)</f>
        <v>1</v>
      </c>
      <c r="I25" s="6" t="str">
        <f t="shared" si="0"/>
        <v>OK</v>
      </c>
      <c r="J25" t="s">
        <v>267</v>
      </c>
      <c r="K25" t="s">
        <v>250</v>
      </c>
    </row>
    <row r="26" ht="49.5" customHeight="1" spans="1:11">
      <c r="A26" s="5" t="s">
        <v>272</v>
      </c>
      <c r="B26" s="8" t="s">
        <v>273</v>
      </c>
      <c r="C26" s="5" t="s">
        <v>156</v>
      </c>
      <c r="D26" s="8" t="s">
        <v>246</v>
      </c>
      <c r="E26" s="5" t="s">
        <v>158</v>
      </c>
      <c r="F26" s="8" t="s">
        <v>274</v>
      </c>
      <c r="G26" s="5" t="s">
        <v>248</v>
      </c>
      <c r="H26" s="5">
        <f>IF($A26="","",'14.要件×機能行列'!$BJ26)</f>
        <v>1</v>
      </c>
      <c r="I26" s="6" t="str">
        <f t="shared" si="0"/>
        <v>OK</v>
      </c>
      <c r="J26" t="s">
        <v>267</v>
      </c>
      <c r="K26" t="s">
        <v>250</v>
      </c>
    </row>
    <row r="27" ht="82.5" customHeight="1" spans="1:11">
      <c r="A27" s="5" t="s">
        <v>275</v>
      </c>
      <c r="B27" s="8" t="s">
        <v>276</v>
      </c>
      <c r="C27" s="5" t="s">
        <v>156</v>
      </c>
      <c r="D27" s="8" t="s">
        <v>246</v>
      </c>
      <c r="E27" s="5" t="s">
        <v>158</v>
      </c>
      <c r="F27" s="8" t="s">
        <v>277</v>
      </c>
      <c r="G27" s="5" t="s">
        <v>248</v>
      </c>
      <c r="H27" s="5">
        <f>IF($A27="","",'14.要件×機能行列'!$BJ27)</f>
        <v>3</v>
      </c>
      <c r="I27" s="6" t="str">
        <f t="shared" si="0"/>
        <v>OK</v>
      </c>
      <c r="J27" t="s">
        <v>278</v>
      </c>
      <c r="K27" t="s">
        <v>250</v>
      </c>
    </row>
    <row r="28" ht="49.5" customHeight="1" spans="1:11">
      <c r="A28" s="5" t="s">
        <v>279</v>
      </c>
      <c r="B28" s="8" t="s">
        <v>280</v>
      </c>
      <c r="C28" s="5" t="s">
        <v>156</v>
      </c>
      <c r="D28" s="8" t="s">
        <v>246</v>
      </c>
      <c r="E28" s="5" t="s">
        <v>158</v>
      </c>
      <c r="F28" s="8" t="s">
        <v>281</v>
      </c>
      <c r="G28" s="5" t="s">
        <v>248</v>
      </c>
      <c r="H28" s="5">
        <f>IF($A28="","",'14.要件×機能行列'!$BJ28)</f>
        <v>1</v>
      </c>
      <c r="I28" s="6" t="str">
        <f t="shared" si="0"/>
        <v>OK</v>
      </c>
      <c r="J28" t="s">
        <v>278</v>
      </c>
      <c r="K28" t="s">
        <v>250</v>
      </c>
    </row>
    <row r="29" ht="66" customHeight="1" spans="1:11">
      <c r="A29" s="5" t="s">
        <v>282</v>
      </c>
      <c r="B29" s="8" t="s">
        <v>283</v>
      </c>
      <c r="C29" s="5" t="s">
        <v>284</v>
      </c>
      <c r="D29" s="8" t="s">
        <v>285</v>
      </c>
      <c r="E29" s="5" t="s">
        <v>158</v>
      </c>
      <c r="F29" s="8" t="s">
        <v>286</v>
      </c>
      <c r="G29" s="5" t="s">
        <v>248</v>
      </c>
      <c r="H29" s="5">
        <f>IF($A29="","",'14.要件×機能行列'!$BJ29)</f>
        <v>2</v>
      </c>
      <c r="I29" s="6" t="str">
        <f t="shared" si="0"/>
        <v>OK</v>
      </c>
      <c r="J29" t="s">
        <v>287</v>
      </c>
      <c r="K29" t="s">
        <v>250</v>
      </c>
    </row>
    <row r="30" ht="82.5" customHeight="1" spans="1:11">
      <c r="A30" s="5" t="s">
        <v>288</v>
      </c>
      <c r="B30" s="8" t="s">
        <v>289</v>
      </c>
      <c r="C30" s="5" t="s">
        <v>156</v>
      </c>
      <c r="D30" s="8" t="s">
        <v>246</v>
      </c>
      <c r="E30" s="5" t="s">
        <v>158</v>
      </c>
      <c r="F30" s="8" t="s">
        <v>290</v>
      </c>
      <c r="G30" s="5" t="s">
        <v>248</v>
      </c>
      <c r="H30" s="5">
        <f>IF($A30="","",'14.要件×機能行列'!$BJ30)</f>
        <v>1</v>
      </c>
      <c r="I30" s="6" t="str">
        <f t="shared" si="0"/>
        <v>OK</v>
      </c>
      <c r="J30" t="s">
        <v>291</v>
      </c>
      <c r="K30" t="s">
        <v>250</v>
      </c>
    </row>
    <row r="31" ht="49.5" customHeight="1" spans="1:11">
      <c r="A31" s="5" t="s">
        <v>292</v>
      </c>
      <c r="B31" s="8" t="s">
        <v>293</v>
      </c>
      <c r="C31" s="5" t="s">
        <v>156</v>
      </c>
      <c r="D31" s="8" t="s">
        <v>294</v>
      </c>
      <c r="E31" s="5" t="s">
        <v>228</v>
      </c>
      <c r="F31" s="8" t="s">
        <v>295</v>
      </c>
      <c r="G31" s="5" t="s">
        <v>248</v>
      </c>
      <c r="H31" s="5">
        <f>IF($A31="","",'14.要件×機能行列'!$BJ31)</f>
        <v>1</v>
      </c>
      <c r="I31" s="6" t="str">
        <f t="shared" si="0"/>
        <v>OK</v>
      </c>
      <c r="J31" t="s">
        <v>296</v>
      </c>
      <c r="K31" t="s">
        <v>250</v>
      </c>
    </row>
    <row r="32" ht="82.5" customHeight="1" spans="1:11">
      <c r="A32" s="5" t="s">
        <v>297</v>
      </c>
      <c r="B32" s="8" t="s">
        <v>298</v>
      </c>
      <c r="C32" s="5" t="s">
        <v>284</v>
      </c>
      <c r="D32" s="8" t="s">
        <v>299</v>
      </c>
      <c r="E32" s="5" t="s">
        <v>158</v>
      </c>
      <c r="F32" s="8" t="s">
        <v>300</v>
      </c>
      <c r="G32" s="5" t="s">
        <v>248</v>
      </c>
      <c r="H32" s="5">
        <f>IF($A32="","",'14.要件×機能行列'!$BJ32)</f>
        <v>2</v>
      </c>
      <c r="I32" s="6" t="str">
        <f t="shared" si="0"/>
        <v>OK</v>
      </c>
      <c r="J32" t="s">
        <v>278</v>
      </c>
      <c r="K32" t="s">
        <v>250</v>
      </c>
    </row>
    <row r="33" ht="66" customHeight="1" spans="1:11">
      <c r="A33" s="5" t="s">
        <v>301</v>
      </c>
      <c r="B33" s="8" t="s">
        <v>302</v>
      </c>
      <c r="C33" s="5" t="s">
        <v>284</v>
      </c>
      <c r="D33" s="8" t="s">
        <v>303</v>
      </c>
      <c r="E33" s="5" t="s">
        <v>158</v>
      </c>
      <c r="F33" s="8" t="s">
        <v>304</v>
      </c>
      <c r="G33" s="5" t="s">
        <v>305</v>
      </c>
      <c r="H33" s="5">
        <f>IF($A33="","",'14.要件×機能行列'!$BJ33)</f>
        <v>3</v>
      </c>
      <c r="I33" s="6" t="str">
        <f t="shared" si="0"/>
        <v>OK</v>
      </c>
      <c r="J33" t="s">
        <v>306</v>
      </c>
      <c r="K33" t="s">
        <v>307</v>
      </c>
    </row>
    <row r="34" ht="82.5" customHeight="1" spans="1:11">
      <c r="A34" s="5" t="s">
        <v>308</v>
      </c>
      <c r="B34" s="8" t="s">
        <v>309</v>
      </c>
      <c r="C34" s="5" t="s">
        <v>253</v>
      </c>
      <c r="D34" s="8" t="s">
        <v>310</v>
      </c>
      <c r="E34" s="5" t="s">
        <v>158</v>
      </c>
      <c r="F34" s="8" t="s">
        <v>311</v>
      </c>
      <c r="G34" s="5" t="s">
        <v>312</v>
      </c>
      <c r="H34" s="5">
        <f>IF($A34="","",'14.要件×機能行列'!$BJ34)</f>
        <v>1</v>
      </c>
      <c r="I34" s="6" t="str">
        <f t="shared" si="0"/>
        <v>OK</v>
      </c>
      <c r="J34" t="s">
        <v>313</v>
      </c>
      <c r="K34" t="s">
        <v>314</v>
      </c>
    </row>
    <row r="35" ht="49.5" customHeight="1" spans="1:11">
      <c r="A35" s="5" t="s">
        <v>315</v>
      </c>
      <c r="B35" s="8" t="s">
        <v>316</v>
      </c>
      <c r="C35" s="5" t="s">
        <v>317</v>
      </c>
      <c r="D35" s="8" t="s">
        <v>318</v>
      </c>
      <c r="E35" s="5" t="s">
        <v>158</v>
      </c>
      <c r="F35" s="8" t="s">
        <v>319</v>
      </c>
      <c r="G35" s="5" t="s">
        <v>160</v>
      </c>
      <c r="H35" s="5">
        <f>IF($A35="","",'14.要件×機能行列'!$BJ35)</f>
        <v>0</v>
      </c>
      <c r="I35" s="6" t="str">
        <f t="shared" si="0"/>
        <v>⚠ 未割当</v>
      </c>
      <c r="J35" t="s">
        <v>320</v>
      </c>
      <c r="K35" t="s">
        <v>162</v>
      </c>
    </row>
    <row r="36" ht="66" customHeight="1" spans="1:11">
      <c r="A36" s="5" t="s">
        <v>321</v>
      </c>
      <c r="B36" s="8" t="s">
        <v>322</v>
      </c>
      <c r="C36" s="5" t="s">
        <v>253</v>
      </c>
      <c r="D36" s="8" t="s">
        <v>323</v>
      </c>
      <c r="E36" s="5" t="s">
        <v>158</v>
      </c>
      <c r="F36" s="8" t="s">
        <v>324</v>
      </c>
      <c r="G36" s="5" t="s">
        <v>325</v>
      </c>
      <c r="H36" s="5">
        <f>IF($A36="","",'14.要件×機能行列'!$BJ36)</f>
        <v>2</v>
      </c>
      <c r="I36" s="6" t="str">
        <f t="shared" si="0"/>
        <v>OK</v>
      </c>
      <c r="J36" t="s">
        <v>326</v>
      </c>
      <c r="K36" t="s">
        <v>257</v>
      </c>
    </row>
    <row r="37" ht="49.5" customHeight="1" spans="1:11">
      <c r="A37" s="5" t="s">
        <v>327</v>
      </c>
      <c r="B37" s="8" t="s">
        <v>328</v>
      </c>
      <c r="C37" s="5" t="s">
        <v>284</v>
      </c>
      <c r="D37" s="8" t="s">
        <v>329</v>
      </c>
      <c r="E37" s="5" t="s">
        <v>330</v>
      </c>
      <c r="F37" s="8" t="s">
        <v>331</v>
      </c>
      <c r="G37" s="5" t="s">
        <v>332</v>
      </c>
      <c r="H37" s="5">
        <f>IF($A37="","",'14.要件×機能行列'!$BJ37)</f>
        <v>1</v>
      </c>
      <c r="I37" s="6" t="str">
        <f t="shared" si="0"/>
        <v>OK</v>
      </c>
      <c r="J37" t="s">
        <v>235</v>
      </c>
      <c r="K37" t="s">
        <v>333</v>
      </c>
    </row>
    <row r="38" ht="49.5" customHeight="1" spans="1:11">
      <c r="A38" s="5" t="s">
        <v>334</v>
      </c>
      <c r="B38" s="8" t="s">
        <v>335</v>
      </c>
      <c r="C38" s="5" t="s">
        <v>284</v>
      </c>
      <c r="D38" s="8" t="s">
        <v>329</v>
      </c>
      <c r="E38" s="5" t="s">
        <v>330</v>
      </c>
      <c r="F38" s="8" t="s">
        <v>336</v>
      </c>
      <c r="G38" s="5" t="s">
        <v>332</v>
      </c>
      <c r="H38" s="5">
        <f>IF($A38="","",'14.要件×機能行列'!$BJ38)</f>
        <v>0</v>
      </c>
      <c r="I38" s="6" t="str">
        <f t="shared" si="0"/>
        <v>⚠ 未割当</v>
      </c>
      <c r="J38" t="s">
        <v>219</v>
      </c>
      <c r="K38" t="s">
        <v>333</v>
      </c>
    </row>
    <row r="39" ht="66" customHeight="1" spans="1:11">
      <c r="A39" s="5" t="s">
        <v>337</v>
      </c>
      <c r="B39" s="8" t="s">
        <v>338</v>
      </c>
      <c r="C39" s="5" t="s">
        <v>284</v>
      </c>
      <c r="D39" s="8" t="s">
        <v>329</v>
      </c>
      <c r="E39" s="5" t="s">
        <v>330</v>
      </c>
      <c r="F39" s="8" t="s">
        <v>339</v>
      </c>
      <c r="G39" s="5" t="s">
        <v>332</v>
      </c>
      <c r="H39" s="5">
        <f>IF($A39="","",'14.要件×機能行列'!$BJ39)</f>
        <v>0</v>
      </c>
      <c r="I39" s="6" t="str">
        <f t="shared" si="0"/>
        <v>⚠ 未割当</v>
      </c>
      <c r="J39" t="s">
        <v>278</v>
      </c>
      <c r="K39" t="s">
        <v>333</v>
      </c>
    </row>
    <row r="40" ht="49.5" customHeight="1" spans="1:11">
      <c r="A40" s="5" t="s">
        <v>340</v>
      </c>
      <c r="B40" s="8" t="s">
        <v>341</v>
      </c>
      <c r="C40" s="5" t="s">
        <v>317</v>
      </c>
      <c r="D40" s="8" t="s">
        <v>342</v>
      </c>
      <c r="E40" s="5" t="s">
        <v>330</v>
      </c>
      <c r="F40" s="8" t="s">
        <v>343</v>
      </c>
      <c r="G40" s="5" t="s">
        <v>344</v>
      </c>
      <c r="H40" s="5">
        <f>IF($A40="","",'14.要件×機能行列'!$BJ40)</f>
        <v>1</v>
      </c>
      <c r="I40" s="6" t="str">
        <f t="shared" si="0"/>
        <v>OK</v>
      </c>
      <c r="J40" t="s">
        <v>345</v>
      </c>
      <c r="K40" t="s">
        <v>346</v>
      </c>
    </row>
    <row r="41" ht="49.5" customHeight="1" spans="1:11">
      <c r="A41" s="5" t="s">
        <v>347</v>
      </c>
      <c r="B41" s="8" t="s">
        <v>348</v>
      </c>
      <c r="C41" s="5" t="s">
        <v>317</v>
      </c>
      <c r="D41" s="8" t="s">
        <v>342</v>
      </c>
      <c r="E41" s="5" t="s">
        <v>330</v>
      </c>
      <c r="F41" s="8" t="s">
        <v>349</v>
      </c>
      <c r="G41" s="5" t="s">
        <v>344</v>
      </c>
      <c r="H41" s="5">
        <f>IF($A41="","",'14.要件×機能行列'!$BJ41)</f>
        <v>1</v>
      </c>
      <c r="I41" s="6" t="str">
        <f t="shared" si="0"/>
        <v>OK</v>
      </c>
      <c r="J41" t="s">
        <v>350</v>
      </c>
      <c r="K41" t="s">
        <v>346</v>
      </c>
    </row>
    <row r="42" ht="49.5" customHeight="1" spans="1:11">
      <c r="A42" s="5" t="s">
        <v>351</v>
      </c>
      <c r="B42" s="8" t="s">
        <v>352</v>
      </c>
      <c r="C42" s="5" t="s">
        <v>353</v>
      </c>
      <c r="D42" s="8" t="s">
        <v>354</v>
      </c>
      <c r="E42" s="5" t="s">
        <v>80</v>
      </c>
      <c r="F42" s="8" t="s">
        <v>355</v>
      </c>
      <c r="G42" s="5" t="s">
        <v>356</v>
      </c>
      <c r="H42" s="5">
        <f>IF($A42="","",'14.要件×機能行列'!$BJ42)</f>
        <v>0</v>
      </c>
      <c r="I42" s="6" t="str">
        <f t="shared" ref="I42:I55" si="1">IF($A42="","",IF($H42="","",IF($H42=0,"設計文書承接","OK")))</f>
        <v>設計文書承接</v>
      </c>
      <c r="K42" t="s">
        <v>356</v>
      </c>
    </row>
    <row r="43" ht="33" customHeight="1" spans="1:11">
      <c r="A43" s="5" t="s">
        <v>357</v>
      </c>
      <c r="B43" s="8" t="s">
        <v>358</v>
      </c>
      <c r="C43" s="5" t="s">
        <v>353</v>
      </c>
      <c r="D43" s="8" t="s">
        <v>354</v>
      </c>
      <c r="E43" s="5" t="s">
        <v>80</v>
      </c>
      <c r="F43" s="8" t="s">
        <v>359</v>
      </c>
      <c r="G43" s="5" t="s">
        <v>356</v>
      </c>
      <c r="H43" s="5">
        <f>IF($A43="","",'14.要件×機能行列'!$BJ43)</f>
        <v>0</v>
      </c>
      <c r="I43" s="6" t="str">
        <f t="shared" si="1"/>
        <v>設計文書承接</v>
      </c>
      <c r="K43" t="s">
        <v>356</v>
      </c>
    </row>
    <row r="44" ht="66" customHeight="1" spans="1:11">
      <c r="A44" s="5" t="s">
        <v>360</v>
      </c>
      <c r="B44" s="8" t="s">
        <v>361</v>
      </c>
      <c r="C44" s="5" t="s">
        <v>353</v>
      </c>
      <c r="D44" s="8" t="s">
        <v>354</v>
      </c>
      <c r="E44" s="5" t="s">
        <v>80</v>
      </c>
      <c r="F44" s="8" t="s">
        <v>362</v>
      </c>
      <c r="G44" s="5" t="s">
        <v>356</v>
      </c>
      <c r="H44" s="5">
        <f>IF($A44="","",'14.要件×機能行列'!$BJ44)</f>
        <v>2</v>
      </c>
      <c r="I44" s="6" t="str">
        <f t="shared" si="1"/>
        <v>OK</v>
      </c>
      <c r="K44" t="s">
        <v>356</v>
      </c>
    </row>
    <row r="45" ht="82.5" customHeight="1" spans="1:11">
      <c r="A45" s="5" t="s">
        <v>363</v>
      </c>
      <c r="B45" s="8" t="s">
        <v>364</v>
      </c>
      <c r="C45" s="5" t="s">
        <v>353</v>
      </c>
      <c r="D45" s="8" t="s">
        <v>354</v>
      </c>
      <c r="E45" s="5" t="s">
        <v>80</v>
      </c>
      <c r="F45" s="8" t="s">
        <v>365</v>
      </c>
      <c r="G45" s="5" t="s">
        <v>356</v>
      </c>
      <c r="H45" s="5">
        <f>IF($A45="","",'14.要件×機能行列'!$BJ45)</f>
        <v>0</v>
      </c>
      <c r="I45" s="6" t="str">
        <f t="shared" si="1"/>
        <v>設計文書承接</v>
      </c>
      <c r="K45" t="s">
        <v>356</v>
      </c>
    </row>
    <row r="46" ht="49.5" customHeight="1" spans="1:11">
      <c r="A46" s="5" t="s">
        <v>366</v>
      </c>
      <c r="B46" s="8" t="s">
        <v>367</v>
      </c>
      <c r="C46" s="5" t="s">
        <v>353</v>
      </c>
      <c r="D46" s="8" t="s">
        <v>354</v>
      </c>
      <c r="E46" s="5" t="s">
        <v>80</v>
      </c>
      <c r="F46" s="8" t="s">
        <v>368</v>
      </c>
      <c r="G46" s="5" t="s">
        <v>356</v>
      </c>
      <c r="H46" s="5">
        <f>IF($A46="","",'14.要件×機能行列'!$BJ46)</f>
        <v>0</v>
      </c>
      <c r="I46" s="6" t="str">
        <f t="shared" si="1"/>
        <v>設計文書承接</v>
      </c>
      <c r="K46" t="s">
        <v>356</v>
      </c>
    </row>
    <row r="47" ht="82.5" customHeight="1" spans="1:11">
      <c r="A47" s="5" t="s">
        <v>369</v>
      </c>
      <c r="B47" s="8" t="s">
        <v>370</v>
      </c>
      <c r="C47" s="5" t="s">
        <v>353</v>
      </c>
      <c r="D47" s="8" t="s">
        <v>354</v>
      </c>
      <c r="E47" s="5" t="s">
        <v>80</v>
      </c>
      <c r="F47" s="8" t="s">
        <v>371</v>
      </c>
      <c r="G47" s="5" t="s">
        <v>356</v>
      </c>
      <c r="H47" s="5">
        <f>IF($A47="","",'14.要件×機能行列'!$BJ47)</f>
        <v>0</v>
      </c>
      <c r="I47" s="6" t="str">
        <f t="shared" si="1"/>
        <v>設計文書承接</v>
      </c>
      <c r="K47" t="s">
        <v>356</v>
      </c>
    </row>
    <row r="48" ht="115.5" customHeight="1" spans="1:11">
      <c r="A48" s="5" t="s">
        <v>372</v>
      </c>
      <c r="B48" s="8" t="s">
        <v>373</v>
      </c>
      <c r="C48" s="5" t="s">
        <v>353</v>
      </c>
      <c r="D48" s="8" t="s">
        <v>354</v>
      </c>
      <c r="E48" s="5" t="s">
        <v>80</v>
      </c>
      <c r="F48" s="8" t="s">
        <v>374</v>
      </c>
      <c r="G48" s="5" t="s">
        <v>356</v>
      </c>
      <c r="H48" s="5">
        <f>IF($A48="","",'14.要件×機能行列'!$BJ48)</f>
        <v>0</v>
      </c>
      <c r="I48" s="6" t="str">
        <f t="shared" si="1"/>
        <v>設計文書承接</v>
      </c>
      <c r="K48" t="s">
        <v>356</v>
      </c>
    </row>
    <row r="49" ht="82.5" customHeight="1" spans="1:11">
      <c r="A49" s="5" t="s">
        <v>375</v>
      </c>
      <c r="B49" s="8" t="s">
        <v>376</v>
      </c>
      <c r="C49" s="5" t="s">
        <v>353</v>
      </c>
      <c r="D49" s="8" t="s">
        <v>354</v>
      </c>
      <c r="E49" s="5" t="s">
        <v>80</v>
      </c>
      <c r="F49" s="8" t="s">
        <v>377</v>
      </c>
      <c r="G49" s="5" t="s">
        <v>356</v>
      </c>
      <c r="H49" s="5">
        <f>IF($A49="","",'14.要件×機能行列'!$BJ49)</f>
        <v>0</v>
      </c>
      <c r="I49" s="6" t="str">
        <f t="shared" si="1"/>
        <v>設計文書承接</v>
      </c>
      <c r="K49" t="s">
        <v>356</v>
      </c>
    </row>
    <row r="50" ht="82.5" customHeight="1" spans="1:11">
      <c r="A50" s="5" t="s">
        <v>378</v>
      </c>
      <c r="B50" s="8" t="s">
        <v>379</v>
      </c>
      <c r="C50" s="5" t="s">
        <v>353</v>
      </c>
      <c r="D50" s="8" t="s">
        <v>354</v>
      </c>
      <c r="E50" s="5" t="s">
        <v>80</v>
      </c>
      <c r="F50" s="8" t="s">
        <v>380</v>
      </c>
      <c r="G50" s="5" t="s">
        <v>356</v>
      </c>
      <c r="H50" s="5">
        <f>IF($A50="","",'14.要件×機能行列'!$BJ50)</f>
        <v>7</v>
      </c>
      <c r="I50" s="6" t="str">
        <f t="shared" si="1"/>
        <v>OK</v>
      </c>
      <c r="K50" t="s">
        <v>356</v>
      </c>
    </row>
    <row r="51" ht="66" customHeight="1" spans="1:11">
      <c r="A51" s="5" t="s">
        <v>381</v>
      </c>
      <c r="B51" s="8" t="s">
        <v>382</v>
      </c>
      <c r="C51" s="5" t="s">
        <v>353</v>
      </c>
      <c r="D51" s="8" t="s">
        <v>354</v>
      </c>
      <c r="E51" s="5" t="s">
        <v>80</v>
      </c>
      <c r="F51" s="8" t="s">
        <v>383</v>
      </c>
      <c r="G51" s="5" t="s">
        <v>356</v>
      </c>
      <c r="H51" s="5">
        <f>IF($A51="","",'14.要件×機能行列'!$BJ51)</f>
        <v>0</v>
      </c>
      <c r="I51" s="6" t="str">
        <f t="shared" si="1"/>
        <v>設計文書承接</v>
      </c>
      <c r="K51" t="s">
        <v>356</v>
      </c>
    </row>
    <row r="52" ht="49.5" customHeight="1" spans="1:11">
      <c r="A52" s="5" t="s">
        <v>384</v>
      </c>
      <c r="B52" s="8" t="s">
        <v>385</v>
      </c>
      <c r="C52" s="5" t="s">
        <v>353</v>
      </c>
      <c r="D52" s="8" t="s">
        <v>354</v>
      </c>
      <c r="E52" s="5" t="s">
        <v>80</v>
      </c>
      <c r="F52" s="8" t="s">
        <v>386</v>
      </c>
      <c r="G52" s="5" t="s">
        <v>356</v>
      </c>
      <c r="H52" s="5">
        <f>IF($A52="","",'14.要件×機能行列'!$BJ52)</f>
        <v>0</v>
      </c>
      <c r="I52" s="6" t="str">
        <f t="shared" si="1"/>
        <v>設計文書承接</v>
      </c>
      <c r="K52" t="s">
        <v>356</v>
      </c>
    </row>
    <row r="53" ht="49.5" customHeight="1" spans="1:11">
      <c r="A53" s="5" t="s">
        <v>387</v>
      </c>
      <c r="B53" s="8" t="s">
        <v>388</v>
      </c>
      <c r="C53" s="5" t="s">
        <v>353</v>
      </c>
      <c r="D53" s="8" t="s">
        <v>354</v>
      </c>
      <c r="E53" s="5" t="s">
        <v>80</v>
      </c>
      <c r="F53" s="8" t="s">
        <v>389</v>
      </c>
      <c r="G53" s="5" t="s">
        <v>356</v>
      </c>
      <c r="H53" s="5">
        <f>IF($A53="","",'14.要件×機能行列'!$BJ53)</f>
        <v>0</v>
      </c>
      <c r="I53" s="6" t="str">
        <f t="shared" si="1"/>
        <v>設計文書承接</v>
      </c>
      <c r="K53" t="s">
        <v>356</v>
      </c>
    </row>
    <row r="54" ht="16.5" customHeight="1" spans="1:11">
      <c r="A54" t="s">
        <v>390</v>
      </c>
      <c r="B54" t="s">
        <v>391</v>
      </c>
      <c r="C54" t="s">
        <v>353</v>
      </c>
      <c r="D54" t="s">
        <v>354</v>
      </c>
      <c r="E54" t="s">
        <v>80</v>
      </c>
      <c r="F54" t="s">
        <v>392</v>
      </c>
      <c r="G54" t="s">
        <v>356</v>
      </c>
      <c r="H54" s="5">
        <f>IF($A54="","",'14.要件×機能行列'!$BJ54)</f>
        <v>0</v>
      </c>
      <c r="I54" s="6" t="str">
        <f t="shared" si="1"/>
        <v>設計文書承接</v>
      </c>
      <c r="K54" t="s">
        <v>356</v>
      </c>
    </row>
    <row r="55" ht="16.5" customHeight="1" spans="1:11">
      <c r="A55" t="s">
        <v>393</v>
      </c>
      <c r="B55" t="s">
        <v>394</v>
      </c>
      <c r="C55" t="s">
        <v>353</v>
      </c>
      <c r="D55" t="s">
        <v>354</v>
      </c>
      <c r="E55" t="s">
        <v>80</v>
      </c>
      <c r="F55" t="s">
        <v>395</v>
      </c>
      <c r="G55" t="s">
        <v>356</v>
      </c>
      <c r="H55" s="5">
        <f>IF($A55="","",'14.要件×機能行列'!$BJ55)</f>
        <v>0</v>
      </c>
      <c r="I55" s="6" t="str">
        <f t="shared" si="1"/>
        <v>設計文書承接</v>
      </c>
      <c r="K55" t="s">
        <v>356</v>
      </c>
    </row>
    <row r="56" ht="16.5" customHeight="1" spans="1:11">
      <c r="H56" s="5" t="str">
        <f>IF($A56="","",'14.要件×機能行列'!$BJ56)</f>
        <v/>
      </c>
      <c r="I56" s="6" t="str">
        <f t="shared" ref="I56:I63" si="2">IF($A56="","",IF($H56="","",IF($H56=0,"⚠ 未割当","OK")))</f>
        <v/>
      </c>
    </row>
    <row r="57" ht="16.5" customHeight="1" spans="1:11">
      <c r="H57" s="5" t="str">
        <f>IF($A57="","",'14.要件×機能行列'!$BJ57)</f>
        <v/>
      </c>
      <c r="I57" s="6" t="str">
        <f t="shared" si="2"/>
        <v/>
      </c>
    </row>
    <row r="58" ht="16.5" customHeight="1" spans="1:11">
      <c r="H58" s="5" t="str">
        <f>IF($A58="","",'14.要件×機能行列'!$BJ58)</f>
        <v/>
      </c>
      <c r="I58" s="6" t="str">
        <f t="shared" si="2"/>
        <v/>
      </c>
    </row>
    <row r="59" ht="16.5" customHeight="1" spans="1:11">
      <c r="H59" s="5" t="str">
        <f>IF($A59="","",'14.要件×機能行列'!$BJ59)</f>
        <v/>
      </c>
      <c r="I59" s="6" t="str">
        <f t="shared" si="2"/>
        <v/>
      </c>
    </row>
    <row r="60" ht="16.5" customHeight="1" spans="1:11">
      <c r="H60" s="5" t="str">
        <f>IF($A60="","",'14.要件×機能行列'!$BJ60)</f>
        <v/>
      </c>
      <c r="I60" s="6" t="str">
        <f t="shared" si="2"/>
        <v/>
      </c>
    </row>
    <row r="61" ht="16.5" customHeight="1" spans="1:11">
      <c r="H61" s="5" t="str">
        <f>IF($A61="","",'14.要件×機能行列'!$BJ61)</f>
        <v/>
      </c>
      <c r="I61" s="6" t="str">
        <f t="shared" si="2"/>
        <v/>
      </c>
    </row>
    <row r="62" ht="16.5" customHeight="1" spans="1:11">
      <c r="H62" s="5" t="str">
        <f>IF($A62="","",'14.要件×機能行列'!$BJ62)</f>
        <v/>
      </c>
      <c r="I62" s="6" t="str">
        <f t="shared" si="2"/>
        <v/>
      </c>
    </row>
    <row r="63" ht="16.5" customHeight="1" spans="1:11">
      <c r="H63" s="5" t="str">
        <f>IF($A63="","",'14.要件×機能行列'!$BJ63)</f>
        <v/>
      </c>
      <c r="I63" s="6" t="str">
        <f t="shared" si="2"/>
        <v/>
      </c>
    </row>
  </sheetData>
  <autoFilter xmlns:etc="http://www.wps.cn/officeDocument/2017/etCustomData" ref="A3:I63" etc:filterBottomFollowUsedRange="0">
    <extLst/>
  </autoFilter>
  <mergeCells count="2">
    <mergeCell ref="A1:I1"/>
    <mergeCell ref="A2:I2"/>
  </mergeCells>
  <conditionalFormatting sqref="I4:I53">
    <cfRule type="expression" dxfId="0" priority="2">
      <formula>$I4="OK"</formula>
    </cfRule>
  </conditionalFormatting>
  <conditionalFormatting sqref="A4:I53">
    <cfRule type="expression" dxfId="1" priority="1">
      <formula>$I4="⚠ 未割当"</formula>
    </cfRule>
  </conditionalFormatting>
  <dataValidations count="3">
    <dataValidation type="list" allowBlank="1" sqref="C4:C63">
      <formula1>"機能,非機能,制約,データ,運用"</formula1>
    </dataValidation>
    <dataValidation type="list" allowBlank="1" sqref="E4:E63">
      <formula1>"Must,Should,Could,Won't"</formula1>
    </dataValidation>
    <dataValidation type="list" allowBlank="1" sqref="G4:G63">
      <formula1>"未着手,設計中,実装済,検証済,保留,却下,設計承接（BD-10）"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K63"/>
  <sheetViews>
    <sheetView workbookViewId="0">
      <pane xSplit="1" ySplit="3" topLeftCell="B21" activePane="bottomRight" state="frozen"/>
      <selection/>
      <selection pane="topRight"/>
      <selection pane="bottomLeft"/>
      <selection pane="bottomRight" activeCell="E33" sqref="E33"/>
    </sheetView>
  </sheetViews>
  <sheetFormatPr defaultColWidth="9" defaultRowHeight="13.5"/>
  <cols>
    <col min="1" max="1" width="12" customWidth="1"/>
    <col min="2" max="2" width="36.625" customWidth="1"/>
    <col min="3" max="3" width="86.25" customWidth="1"/>
    <col min="4" max="4" width="44.5" customWidth="1"/>
    <col min="5" max="5" width="16" customWidth="1"/>
    <col min="6" max="6" width="39" customWidth="1"/>
    <col min="7" max="7" width="12" customWidth="1"/>
    <col min="8" max="9" width="11" customWidth="1"/>
    <col min="10" max="10" width="18" customWidth="1"/>
    <col min="11" max="11" width="26" customWidth="1"/>
  </cols>
  <sheetData>
    <row r="1" ht="26" customHeight="1" spans="1:11">
      <c r="A1" s="1" t="s">
        <v>396</v>
      </c>
    </row>
    <row r="2" ht="22" customHeight="1" spans="1:11">
      <c r="A2" s="2" t="s">
        <v>397</v>
      </c>
    </row>
    <row r="3" ht="30" customHeight="1" spans="1:11">
      <c r="A3" s="3" t="s">
        <v>398</v>
      </c>
      <c r="B3" s="3" t="s">
        <v>399</v>
      </c>
      <c r="C3" s="3" t="s">
        <v>400</v>
      </c>
      <c r="D3" s="3" t="s">
        <v>401</v>
      </c>
      <c r="E3" s="3" t="s">
        <v>402</v>
      </c>
      <c r="F3" s="3" t="s">
        <v>403</v>
      </c>
      <c r="G3" s="3" t="s">
        <v>404</v>
      </c>
      <c r="H3" s="3" t="s">
        <v>405</v>
      </c>
      <c r="I3" s="3" t="s">
        <v>406</v>
      </c>
      <c r="J3" s="3" t="s">
        <v>151</v>
      </c>
      <c r="K3" s="3" t="s">
        <v>153</v>
      </c>
    </row>
    <row r="4" ht="49.5" customHeight="1" spans="1:11">
      <c r="A4" s="24" t="s">
        <v>407</v>
      </c>
      <c r="B4" s="25" t="s">
        <v>408</v>
      </c>
      <c r="C4" s="25" t="s">
        <v>409</v>
      </c>
      <c r="D4" s="24" t="s">
        <v>163</v>
      </c>
      <c r="E4" s="24" t="s">
        <v>410</v>
      </c>
      <c r="F4" s="24" t="s">
        <v>411</v>
      </c>
      <c r="G4" s="24" t="s">
        <v>158</v>
      </c>
      <c r="H4" s="5">
        <f>IF($A4="","",'14.要件×機能行列'!B$64)</f>
        <v>2</v>
      </c>
      <c r="I4" s="5">
        <f>IF($A4="","",'15.機能×画面行列'!$CD4)</f>
        <v>1</v>
      </c>
      <c r="J4" s="6" t="str">
        <f t="shared" ref="J4:J63" si="0">IF($A4="","",IF($H4=0,"⚠ 要件未紐付",IF($I4=0,"⚠ 画面未紐付","OK")))</f>
        <v>OK</v>
      </c>
      <c r="K4" t="s">
        <v>412</v>
      </c>
    </row>
    <row r="5" ht="49.5" customHeight="1" spans="1:11">
      <c r="A5" s="24" t="s">
        <v>413</v>
      </c>
      <c r="B5" s="25" t="s">
        <v>414</v>
      </c>
      <c r="C5" s="25" t="s">
        <v>415</v>
      </c>
      <c r="D5" s="24" t="s">
        <v>154</v>
      </c>
      <c r="E5" s="24" t="s">
        <v>416</v>
      </c>
      <c r="F5" s="24" t="s">
        <v>417</v>
      </c>
      <c r="G5" s="24" t="s">
        <v>158</v>
      </c>
      <c r="H5" s="5">
        <f>IF($A5="","",'14.要件×機能行列'!C$64)</f>
        <v>2</v>
      </c>
      <c r="I5" s="5">
        <f>IF($A5="","",'15.機能×画面行列'!$CD5)</f>
        <v>1</v>
      </c>
      <c r="J5" s="6" t="str">
        <f t="shared" si="0"/>
        <v>OK</v>
      </c>
      <c r="K5" t="s">
        <v>412</v>
      </c>
    </row>
    <row r="6" ht="49.5" customHeight="1" spans="1:11">
      <c r="A6" s="24" t="s">
        <v>418</v>
      </c>
      <c r="B6" s="25" t="s">
        <v>419</v>
      </c>
      <c r="C6" s="25" t="s">
        <v>420</v>
      </c>
      <c r="D6" s="24" t="s">
        <v>168</v>
      </c>
      <c r="E6" s="24" t="s">
        <v>410</v>
      </c>
      <c r="F6" s="24" t="s">
        <v>411</v>
      </c>
      <c r="G6" s="24" t="s">
        <v>158</v>
      </c>
      <c r="H6" s="5">
        <f>IF($A6="","",'14.要件×機能行列'!D$64)</f>
        <v>2</v>
      </c>
      <c r="I6" s="5">
        <f>IF($A6="","",'15.機能×画面行列'!$CD6)</f>
        <v>0</v>
      </c>
      <c r="J6" s="6" t="str">
        <f t="shared" si="0"/>
        <v>⚠ 画面未紐付</v>
      </c>
      <c r="K6" t="s">
        <v>412</v>
      </c>
    </row>
    <row r="7" ht="16.5" customHeight="1" spans="1:11">
      <c r="A7" s="24" t="s">
        <v>421</v>
      </c>
      <c r="B7" s="25" t="s">
        <v>422</v>
      </c>
      <c r="C7" s="25" t="s">
        <v>423</v>
      </c>
      <c r="D7" s="24" t="s">
        <v>172</v>
      </c>
      <c r="E7" s="24" t="s">
        <v>416</v>
      </c>
      <c r="F7" s="24" t="s">
        <v>417</v>
      </c>
      <c r="G7" s="24" t="s">
        <v>158</v>
      </c>
      <c r="H7" s="5">
        <f>IF($A7="","",'14.要件×機能行列'!E$64)</f>
        <v>2</v>
      </c>
      <c r="I7" s="5">
        <f>IF($A7="","",'15.機能×画面行列'!$CD7)</f>
        <v>1</v>
      </c>
      <c r="J7" s="6" t="str">
        <f t="shared" si="0"/>
        <v>OK</v>
      </c>
      <c r="K7" t="s">
        <v>412</v>
      </c>
    </row>
    <row r="8" ht="33" customHeight="1" spans="1:11">
      <c r="A8" s="24" t="s">
        <v>424</v>
      </c>
      <c r="B8" s="25" t="s">
        <v>425</v>
      </c>
      <c r="C8" s="25" t="s">
        <v>426</v>
      </c>
      <c r="D8" s="24" t="s">
        <v>177</v>
      </c>
      <c r="E8" s="24" t="s">
        <v>416</v>
      </c>
      <c r="F8" s="24" t="s">
        <v>417</v>
      </c>
      <c r="G8" s="24" t="s">
        <v>158</v>
      </c>
      <c r="H8" s="5">
        <f>IF($A8="","",'14.要件×機能行列'!F$64)</f>
        <v>2</v>
      </c>
      <c r="I8" s="5">
        <f>IF($A8="","",'15.機能×画面行列'!$CD8)</f>
        <v>1</v>
      </c>
      <c r="J8" s="6" t="str">
        <f t="shared" si="0"/>
        <v>OK</v>
      </c>
      <c r="K8" t="s">
        <v>412</v>
      </c>
    </row>
    <row r="9" ht="33" customHeight="1" spans="1:11">
      <c r="A9" s="24" t="s">
        <v>427</v>
      </c>
      <c r="B9" s="25" t="s">
        <v>428</v>
      </c>
      <c r="C9" s="25" t="s">
        <v>429</v>
      </c>
      <c r="D9" s="24" t="s">
        <v>181</v>
      </c>
      <c r="E9" s="24" t="s">
        <v>416</v>
      </c>
      <c r="F9" s="24" t="s">
        <v>417</v>
      </c>
      <c r="G9" s="24" t="s">
        <v>158</v>
      </c>
      <c r="H9" s="5">
        <f>IF($A9="","",'14.要件×機能行列'!G$64)</f>
        <v>2</v>
      </c>
      <c r="I9" s="5">
        <f>IF($A9="","",'15.機能×画面行列'!$CD9)</f>
        <v>1</v>
      </c>
      <c r="J9" s="6" t="str">
        <f t="shared" si="0"/>
        <v>OK</v>
      </c>
      <c r="K9" t="s">
        <v>412</v>
      </c>
    </row>
    <row r="10" ht="49.5" customHeight="1" spans="1:11">
      <c r="A10" s="24" t="s">
        <v>430</v>
      </c>
      <c r="B10" s="25" t="s">
        <v>431</v>
      </c>
      <c r="C10" s="25" t="s">
        <v>432</v>
      </c>
      <c r="D10" s="24" t="s">
        <v>185</v>
      </c>
      <c r="E10" s="24" t="s">
        <v>416</v>
      </c>
      <c r="F10" s="24" t="s">
        <v>417</v>
      </c>
      <c r="G10" s="24" t="s">
        <v>158</v>
      </c>
      <c r="H10" s="5">
        <f>IF($A10="","",'14.要件×機能行列'!H$64)</f>
        <v>2</v>
      </c>
      <c r="I10" s="5">
        <f>IF($A10="","",'15.機能×画面行列'!$CD10)</f>
        <v>1</v>
      </c>
      <c r="J10" s="6" t="str">
        <f t="shared" si="0"/>
        <v>OK</v>
      </c>
      <c r="K10" t="s">
        <v>412</v>
      </c>
    </row>
    <row r="11" ht="49.5" customHeight="1" spans="1:11">
      <c r="A11" s="24" t="s">
        <v>433</v>
      </c>
      <c r="B11" s="25" t="s">
        <v>434</v>
      </c>
      <c r="C11" s="25" t="s">
        <v>435</v>
      </c>
      <c r="D11" s="24" t="s">
        <v>190</v>
      </c>
      <c r="E11" s="24" t="s">
        <v>416</v>
      </c>
      <c r="F11" s="24" t="s">
        <v>417</v>
      </c>
      <c r="G11" s="24" t="s">
        <v>158</v>
      </c>
      <c r="H11" s="5">
        <f>IF($A11="","",'14.要件×機能行列'!I$64)</f>
        <v>2</v>
      </c>
      <c r="I11" s="5">
        <f>IF($A11="","",'15.機能×画面行列'!$CD11)</f>
        <v>1</v>
      </c>
      <c r="J11" s="6" t="str">
        <f t="shared" si="0"/>
        <v>OK</v>
      </c>
      <c r="K11" t="s">
        <v>412</v>
      </c>
    </row>
    <row r="12" ht="33" customHeight="1" spans="1:11">
      <c r="A12" s="24" t="s">
        <v>436</v>
      </c>
      <c r="B12" s="25" t="s">
        <v>437</v>
      </c>
      <c r="C12" s="25" t="s">
        <v>438</v>
      </c>
      <c r="D12" s="24" t="s">
        <v>195</v>
      </c>
      <c r="E12" s="24" t="s">
        <v>416</v>
      </c>
      <c r="F12" s="24" t="s">
        <v>417</v>
      </c>
      <c r="G12" s="24" t="s">
        <v>198</v>
      </c>
      <c r="H12" s="5">
        <f>IF($A12="","",'14.要件×機能行列'!J$64)</f>
        <v>2</v>
      </c>
      <c r="I12" s="5">
        <f>IF($A12="","",'15.機能×画面行列'!$CD12)</f>
        <v>1</v>
      </c>
      <c r="J12" s="6" t="str">
        <f t="shared" si="0"/>
        <v>OK</v>
      </c>
      <c r="K12" t="s">
        <v>412</v>
      </c>
    </row>
    <row r="13" ht="33" customHeight="1" spans="1:11">
      <c r="A13" s="24" t="s">
        <v>439</v>
      </c>
      <c r="B13" s="25" t="s">
        <v>440</v>
      </c>
      <c r="C13" s="25" t="s">
        <v>441</v>
      </c>
      <c r="D13" s="24" t="s">
        <v>201</v>
      </c>
      <c r="E13" s="24" t="s">
        <v>442</v>
      </c>
      <c r="F13" s="24" t="s">
        <v>417</v>
      </c>
      <c r="G13" s="24" t="s">
        <v>158</v>
      </c>
      <c r="H13" s="5">
        <f>IF($A13="","",'14.要件×機能行列'!K$64)</f>
        <v>2</v>
      </c>
      <c r="I13" s="5">
        <f>IF($A13="","",'15.機能×画面行列'!$CD13)</f>
        <v>1</v>
      </c>
      <c r="J13" s="6" t="str">
        <f t="shared" si="0"/>
        <v>OK</v>
      </c>
      <c r="K13" t="s">
        <v>412</v>
      </c>
    </row>
    <row r="14" ht="16.5" customHeight="1" spans="1:11">
      <c r="A14" s="5" t="s">
        <v>443</v>
      </c>
      <c r="B14" s="8" t="s">
        <v>444</v>
      </c>
      <c r="C14" s="8" t="s">
        <v>445</v>
      </c>
      <c r="D14" s="5" t="s">
        <v>206</v>
      </c>
      <c r="E14" s="5" t="s">
        <v>442</v>
      </c>
      <c r="F14" s="5" t="s">
        <v>417</v>
      </c>
      <c r="G14" s="5" t="s">
        <v>158</v>
      </c>
      <c r="H14" s="5">
        <f>IF($A14="","",'14.要件×機能行列'!L$64)</f>
        <v>2</v>
      </c>
      <c r="I14" s="5">
        <f>IF($A14="","",'15.機能×画面行列'!$CD14)</f>
        <v>1</v>
      </c>
      <c r="J14" s="6" t="str">
        <f t="shared" si="0"/>
        <v>OK</v>
      </c>
      <c r="K14" t="s">
        <v>412</v>
      </c>
    </row>
    <row r="15" ht="49.5" customHeight="1" spans="1:11">
      <c r="A15" s="5" t="s">
        <v>446</v>
      </c>
      <c r="B15" s="8" t="s">
        <v>447</v>
      </c>
      <c r="C15" s="8" t="s">
        <v>448</v>
      </c>
      <c r="D15" s="5" t="s">
        <v>215</v>
      </c>
      <c r="E15" s="5" t="s">
        <v>442</v>
      </c>
      <c r="F15" s="5" t="s">
        <v>417</v>
      </c>
      <c r="G15" s="5" t="s">
        <v>158</v>
      </c>
      <c r="H15" s="5">
        <f>IF($A15="","",'14.要件×機能行列'!M$64)</f>
        <v>2</v>
      </c>
      <c r="I15" s="5">
        <f>IF($A15="","",'15.機能×画面行列'!$CD15)</f>
        <v>1</v>
      </c>
      <c r="J15" s="6" t="str">
        <f t="shared" si="0"/>
        <v>OK</v>
      </c>
      <c r="K15" t="s">
        <v>412</v>
      </c>
    </row>
    <row r="16" ht="16.5" customHeight="1" spans="1:11">
      <c r="A16" s="5" t="s">
        <v>449</v>
      </c>
      <c r="B16" s="8" t="s">
        <v>450</v>
      </c>
      <c r="C16" s="8" t="s">
        <v>451</v>
      </c>
      <c r="D16" s="5" t="s">
        <v>211</v>
      </c>
      <c r="E16" s="5" t="s">
        <v>442</v>
      </c>
      <c r="F16" s="5" t="s">
        <v>417</v>
      </c>
      <c r="G16" s="5" t="s">
        <v>158</v>
      </c>
      <c r="H16" s="5">
        <f>IF($A16="","",'14.要件×機能行列'!N$64)</f>
        <v>2</v>
      </c>
      <c r="I16" s="5">
        <f>IF($A16="","",'15.機能×画面行列'!$CD16)</f>
        <v>1</v>
      </c>
      <c r="J16" s="6" t="str">
        <f t="shared" si="0"/>
        <v>OK</v>
      </c>
      <c r="K16" t="s">
        <v>412</v>
      </c>
    </row>
    <row r="17" ht="66" customHeight="1" spans="1:11">
      <c r="A17" s="5" t="s">
        <v>452</v>
      </c>
      <c r="B17" s="8" t="s">
        <v>453</v>
      </c>
      <c r="C17" s="8" t="s">
        <v>454</v>
      </c>
      <c r="D17" s="5" t="s">
        <v>225</v>
      </c>
      <c r="E17" s="5" t="s">
        <v>410</v>
      </c>
      <c r="F17" s="5" t="s">
        <v>417</v>
      </c>
      <c r="G17" s="5" t="s">
        <v>228</v>
      </c>
      <c r="H17" s="5">
        <f>IF($A17="","",'14.要件×機能行列'!O$64)</f>
        <v>1</v>
      </c>
      <c r="I17" s="5">
        <f>IF($A17="","",'15.機能×画面行列'!$CD17)</f>
        <v>1</v>
      </c>
      <c r="J17" s="6" t="str">
        <f t="shared" si="0"/>
        <v>OK</v>
      </c>
      <c r="K17" t="s">
        <v>412</v>
      </c>
    </row>
    <row r="18" ht="33" customHeight="1" spans="1:11">
      <c r="A18" s="5" t="s">
        <v>455</v>
      </c>
      <c r="B18" s="8" t="s">
        <v>456</v>
      </c>
      <c r="C18" s="8" t="s">
        <v>457</v>
      </c>
      <c r="D18" s="5" t="s">
        <v>458</v>
      </c>
      <c r="E18" s="5" t="s">
        <v>410</v>
      </c>
      <c r="F18" s="5" t="s">
        <v>417</v>
      </c>
      <c r="G18" s="5" t="s">
        <v>80</v>
      </c>
      <c r="H18" s="5">
        <f>IF($A18="","",'14.要件×機能行列'!P$64)</f>
        <v>0</v>
      </c>
      <c r="I18" s="5">
        <f>IF($A18="","",'15.機能×画面行列'!$CD18)</f>
        <v>0</v>
      </c>
      <c r="J18" s="6" t="str">
        <f t="shared" si="0"/>
        <v>⚠ 要件未紐付</v>
      </c>
      <c r="K18" t="s">
        <v>459</v>
      </c>
    </row>
    <row r="19" ht="82.5" customHeight="1" spans="1:11">
      <c r="A19" s="5" t="s">
        <v>460</v>
      </c>
      <c r="B19" s="8" t="s">
        <v>461</v>
      </c>
      <c r="C19" s="8" t="s">
        <v>462</v>
      </c>
      <c r="D19" s="5" t="s">
        <v>463</v>
      </c>
      <c r="E19" s="5" t="s">
        <v>464</v>
      </c>
      <c r="F19" s="5" t="s">
        <v>465</v>
      </c>
      <c r="G19" s="5" t="s">
        <v>158</v>
      </c>
      <c r="H19" s="5">
        <f>IF($A19="","",'14.要件×機能行列'!Q$64)</f>
        <v>6</v>
      </c>
      <c r="I19" s="5">
        <f>IF($A19="","",'15.機能×画面行列'!$CD19)</f>
        <v>0</v>
      </c>
      <c r="J19" s="6" t="str">
        <f t="shared" si="0"/>
        <v>⚠ 画面未紐付</v>
      </c>
      <c r="K19" t="s">
        <v>250</v>
      </c>
    </row>
    <row r="20" ht="66" customHeight="1" spans="1:11">
      <c r="A20" s="5" t="s">
        <v>466</v>
      </c>
      <c r="B20" s="8" t="s">
        <v>467</v>
      </c>
      <c r="C20" s="8" t="s">
        <v>468</v>
      </c>
      <c r="D20" s="5" t="s">
        <v>469</v>
      </c>
      <c r="E20" s="5" t="s">
        <v>442</v>
      </c>
      <c r="F20" s="5" t="s">
        <v>470</v>
      </c>
      <c r="G20" s="5" t="s">
        <v>158</v>
      </c>
      <c r="H20" s="5">
        <f>IF($A20="","",'14.要件×機能行列'!R$64)</f>
        <v>3</v>
      </c>
      <c r="I20" s="5">
        <f>IF($A20="","",'15.機能×画面行列'!$CD20)</f>
        <v>1</v>
      </c>
      <c r="J20" s="6" t="str">
        <f t="shared" si="0"/>
        <v>OK</v>
      </c>
      <c r="K20" t="s">
        <v>243</v>
      </c>
    </row>
    <row r="21" ht="66" customHeight="1" spans="1:11">
      <c r="A21" s="5" t="s">
        <v>471</v>
      </c>
      <c r="B21" s="8" t="s">
        <v>472</v>
      </c>
      <c r="C21" s="8" t="s">
        <v>473</v>
      </c>
      <c r="D21" s="5" t="s">
        <v>230</v>
      </c>
      <c r="E21" s="5" t="s">
        <v>474</v>
      </c>
      <c r="F21" s="5" t="s">
        <v>475</v>
      </c>
      <c r="G21" s="5" t="s">
        <v>158</v>
      </c>
      <c r="H21" s="5">
        <f>IF($A21="","",'14.要件×機能行列'!S$64)</f>
        <v>2</v>
      </c>
      <c r="I21" s="5">
        <f>IF($A21="","",'15.機能×画面行列'!$CD21)</f>
        <v>1</v>
      </c>
      <c r="J21" s="6" t="str">
        <f t="shared" si="0"/>
        <v>OK</v>
      </c>
      <c r="K21" t="s">
        <v>236</v>
      </c>
    </row>
    <row r="22" ht="33" customHeight="1" spans="1:11">
      <c r="A22" s="5" t="s">
        <v>476</v>
      </c>
      <c r="B22" s="8" t="s">
        <v>477</v>
      </c>
      <c r="C22" s="8" t="s">
        <v>478</v>
      </c>
      <c r="D22" s="5" t="s">
        <v>479</v>
      </c>
      <c r="E22" s="5" t="s">
        <v>474</v>
      </c>
      <c r="F22" s="5" t="s">
        <v>470</v>
      </c>
      <c r="G22" s="5" t="s">
        <v>158</v>
      </c>
      <c r="H22" s="5">
        <f>IF($A22="","",'14.要件×機能行列'!T$64)</f>
        <v>3</v>
      </c>
      <c r="I22" s="5">
        <f>IF($A22="","",'15.機能×画面行列'!$CD22)</f>
        <v>1</v>
      </c>
      <c r="J22" s="6" t="str">
        <f t="shared" si="0"/>
        <v>OK</v>
      </c>
      <c r="K22" t="s">
        <v>243</v>
      </c>
    </row>
    <row r="23" ht="66" customHeight="1" spans="1:11">
      <c r="A23" s="5" t="s">
        <v>480</v>
      </c>
      <c r="B23" s="8" t="s">
        <v>481</v>
      </c>
      <c r="C23" s="8" t="s">
        <v>482</v>
      </c>
      <c r="D23" s="5" t="s">
        <v>483</v>
      </c>
      <c r="E23" s="5" t="s">
        <v>484</v>
      </c>
      <c r="F23" s="5" t="s">
        <v>485</v>
      </c>
      <c r="G23" s="5" t="s">
        <v>158</v>
      </c>
      <c r="H23" s="5">
        <f>IF($A23="","",'14.要件×機能行列'!U$64)</f>
        <v>4</v>
      </c>
      <c r="I23" s="5">
        <f>IF($A23="","",'15.機能×画面行列'!$CD23)</f>
        <v>1</v>
      </c>
      <c r="J23" s="6" t="str">
        <f t="shared" si="0"/>
        <v>OK</v>
      </c>
      <c r="K23" t="s">
        <v>268</v>
      </c>
    </row>
    <row r="24" ht="115.5" customHeight="1" spans="1:11">
      <c r="A24" s="5" t="s">
        <v>486</v>
      </c>
      <c r="B24" s="8" t="s">
        <v>487</v>
      </c>
      <c r="C24" s="8" t="s">
        <v>488</v>
      </c>
      <c r="D24" s="5" t="s">
        <v>489</v>
      </c>
      <c r="E24" s="5" t="s">
        <v>490</v>
      </c>
      <c r="F24" s="5" t="s">
        <v>465</v>
      </c>
      <c r="G24" s="5" t="s">
        <v>158</v>
      </c>
      <c r="H24" s="5">
        <f>IF($A24="","",'14.要件×機能行列'!V$64)</f>
        <v>10</v>
      </c>
      <c r="I24" s="5">
        <f>IF($A24="","",'15.機能×画面行列'!$CD24)</f>
        <v>0</v>
      </c>
      <c r="J24" s="6" t="str">
        <f t="shared" si="0"/>
        <v>⚠ 画面未紐付</v>
      </c>
      <c r="K24" t="s">
        <v>250</v>
      </c>
    </row>
    <row r="25" ht="49.5" customHeight="1" spans="1:11">
      <c r="A25" s="5" t="s">
        <v>491</v>
      </c>
      <c r="B25" s="8" t="s">
        <v>492</v>
      </c>
      <c r="C25" s="8" t="s">
        <v>493</v>
      </c>
      <c r="D25" s="5" t="s">
        <v>494</v>
      </c>
      <c r="E25" s="5" t="s">
        <v>490</v>
      </c>
      <c r="F25" s="5" t="s">
        <v>465</v>
      </c>
      <c r="G25" s="5" t="s">
        <v>158</v>
      </c>
      <c r="H25" s="5">
        <f>IF($A25="","",'14.要件×機能行列'!W$64)</f>
        <v>3</v>
      </c>
      <c r="I25" s="5">
        <f>IF($A25="","",'15.機能×画面行列'!$CD25)</f>
        <v>1</v>
      </c>
      <c r="J25" s="6" t="str">
        <f t="shared" si="0"/>
        <v>OK</v>
      </c>
      <c r="K25" t="s">
        <v>250</v>
      </c>
    </row>
    <row r="26" ht="33" customHeight="1" spans="1:11">
      <c r="A26" s="5" t="s">
        <v>495</v>
      </c>
      <c r="B26" s="8" t="s">
        <v>496</v>
      </c>
      <c r="C26" s="8" t="s">
        <v>497</v>
      </c>
      <c r="D26" s="5" t="s">
        <v>498</v>
      </c>
      <c r="E26" s="5" t="s">
        <v>499</v>
      </c>
      <c r="F26" s="5" t="s">
        <v>500</v>
      </c>
      <c r="G26" s="5" t="s">
        <v>330</v>
      </c>
      <c r="H26" s="5">
        <f>IF($A26="","",'14.要件×機能行列'!X$64)</f>
        <v>1</v>
      </c>
      <c r="I26" s="5">
        <f>IF($A26="","",'15.機能×画面行列'!$CD26)</f>
        <v>0</v>
      </c>
      <c r="J26" s="6" t="str">
        <f t="shared" si="0"/>
        <v>⚠ 画面未紐付</v>
      </c>
      <c r="K26" t="s">
        <v>501</v>
      </c>
    </row>
    <row r="27" ht="33" customHeight="1" spans="1:11">
      <c r="A27" s="5" t="s">
        <v>502</v>
      </c>
      <c r="B27" s="8" t="s">
        <v>503</v>
      </c>
      <c r="C27" s="8" t="s">
        <v>504</v>
      </c>
      <c r="D27" s="5" t="s">
        <v>505</v>
      </c>
      <c r="E27" s="5" t="s">
        <v>442</v>
      </c>
      <c r="F27" s="5" t="s">
        <v>506</v>
      </c>
      <c r="G27" s="5" t="s">
        <v>330</v>
      </c>
      <c r="H27" s="5">
        <f>IF($A27="","",'14.要件×機能行列'!Y$64)</f>
        <v>1</v>
      </c>
      <c r="I27" s="5">
        <f>IF($A27="","",'15.機能×画面行列'!$CD27)</f>
        <v>0</v>
      </c>
      <c r="J27" s="6" t="str">
        <f t="shared" si="0"/>
        <v>⚠ 画面未紐付</v>
      </c>
      <c r="K27" t="s">
        <v>507</v>
      </c>
    </row>
    <row r="28" ht="49.5" customHeight="1" spans="1:11">
      <c r="A28" s="5" t="s">
        <v>508</v>
      </c>
      <c r="B28" s="8" t="s">
        <v>509</v>
      </c>
      <c r="C28" s="8" t="s">
        <v>510</v>
      </c>
      <c r="D28" s="5" t="s">
        <v>301</v>
      </c>
      <c r="E28" s="5" t="s">
        <v>511</v>
      </c>
      <c r="F28" s="5" t="s">
        <v>512</v>
      </c>
      <c r="G28" s="5" t="s">
        <v>158</v>
      </c>
      <c r="H28" s="5">
        <f>IF($A28="","",'14.要件×機能行列'!Z$64)</f>
        <v>1</v>
      </c>
      <c r="I28" s="5">
        <f>IF($A28="","",'15.機能×画面行列'!$CD28)</f>
        <v>0</v>
      </c>
      <c r="J28" s="6" t="str">
        <f t="shared" si="0"/>
        <v>⚠ 画面未紐付</v>
      </c>
      <c r="K28" t="s">
        <v>513</v>
      </c>
    </row>
    <row r="29" ht="49.5" customHeight="1" spans="1:11">
      <c r="A29" s="5" t="s">
        <v>514</v>
      </c>
      <c r="B29" s="8" t="s">
        <v>515</v>
      </c>
      <c r="C29" s="8" t="s">
        <v>516</v>
      </c>
      <c r="D29" s="5" t="s">
        <v>517</v>
      </c>
      <c r="E29" s="5" t="s">
        <v>490</v>
      </c>
      <c r="F29" s="5" t="s">
        <v>518</v>
      </c>
      <c r="G29" s="5" t="s">
        <v>330</v>
      </c>
      <c r="H29" s="5">
        <f>IF($A29="","",'14.要件×機能行列'!AA$64)</f>
        <v>2</v>
      </c>
      <c r="I29" s="5">
        <f>IF($A29="","",'15.機能×画面行列'!$CD29)</f>
        <v>0</v>
      </c>
      <c r="J29" s="6" t="str">
        <f t="shared" si="0"/>
        <v>⚠ 画面未紐付</v>
      </c>
      <c r="K29" t="s">
        <v>519</v>
      </c>
    </row>
    <row r="30" ht="16.5" customHeight="1" spans="1:11">
      <c r="A30" s="5"/>
      <c r="B30" s="8"/>
      <c r="C30" s="8"/>
      <c r="D30" s="5"/>
      <c r="E30" s="5"/>
      <c r="F30" s="5"/>
      <c r="G30" s="5"/>
      <c r="H30" s="5" t="str">
        <f>IF($A30="","",'14.要件×機能行列'!AB$64)</f>
        <v/>
      </c>
      <c r="I30" s="5" t="str">
        <f>IF($A30="","",'15.機能×画面行列'!$CD30)</f>
        <v/>
      </c>
      <c r="J30" s="6" t="str">
        <f t="shared" si="0"/>
        <v/>
      </c>
    </row>
    <row r="31" ht="16.5" customHeight="1" spans="1:11">
      <c r="A31" s="5"/>
      <c r="B31" s="8"/>
      <c r="C31" s="8"/>
      <c r="D31" s="5"/>
      <c r="E31" s="5"/>
      <c r="F31" s="5"/>
      <c r="G31" s="5"/>
      <c r="H31" s="5" t="str">
        <f>IF($A31="","",'14.要件×機能行列'!AC$64)</f>
        <v/>
      </c>
      <c r="I31" s="5" t="str">
        <f>IF($A31="","",'15.機能×画面行列'!$CD31)</f>
        <v/>
      </c>
      <c r="J31" s="6" t="str">
        <f t="shared" si="0"/>
        <v/>
      </c>
    </row>
    <row r="32" ht="16.5" customHeight="1" spans="1:11">
      <c r="A32" s="5"/>
      <c r="B32" s="8"/>
      <c r="C32" s="8"/>
      <c r="D32" s="5"/>
      <c r="E32" s="5"/>
      <c r="F32" s="5"/>
      <c r="G32" s="5"/>
      <c r="H32" s="5" t="str">
        <f>IF($A32="","",'14.要件×機能行列'!AD$64)</f>
        <v/>
      </c>
      <c r="I32" s="5" t="str">
        <f>IF($A32="","",'15.機能×画面行列'!$CD32)</f>
        <v/>
      </c>
      <c r="J32" s="6" t="str">
        <f t="shared" si="0"/>
        <v/>
      </c>
    </row>
    <row r="33" ht="16.5" customHeight="1" spans="1:10">
      <c r="A33" s="5"/>
      <c r="B33" s="8"/>
      <c r="C33" s="8"/>
      <c r="D33" s="5"/>
      <c r="E33" s="5"/>
      <c r="F33" s="5"/>
      <c r="G33" s="5"/>
      <c r="H33" s="5" t="str">
        <f>IF($A33="","",'14.要件×機能行列'!AE$64)</f>
        <v/>
      </c>
      <c r="I33" s="5" t="str">
        <f>IF($A33="","",'15.機能×画面行列'!$CD33)</f>
        <v/>
      </c>
      <c r="J33" s="6" t="str">
        <f t="shared" si="0"/>
        <v/>
      </c>
    </row>
    <row r="34" ht="16.5" customHeight="1" spans="1:10">
      <c r="A34" s="5"/>
      <c r="B34" s="8"/>
      <c r="C34" s="8"/>
      <c r="D34" s="5"/>
      <c r="E34" s="5"/>
      <c r="F34" s="5"/>
      <c r="G34" s="5"/>
      <c r="H34" s="5" t="str">
        <f>IF($A34="","",'14.要件×機能行列'!AF$64)</f>
        <v/>
      </c>
      <c r="I34" s="5" t="str">
        <f>IF($A34="","",'15.機能×画面行列'!$CD34)</f>
        <v/>
      </c>
      <c r="J34" s="6" t="str">
        <f t="shared" si="0"/>
        <v/>
      </c>
    </row>
    <row r="35" ht="16.5" customHeight="1" spans="1:10">
      <c r="A35" s="5"/>
      <c r="B35" s="8"/>
      <c r="C35" s="8"/>
      <c r="D35" s="5"/>
      <c r="E35" s="5"/>
      <c r="F35" s="5"/>
      <c r="G35" s="5"/>
      <c r="H35" s="5" t="str">
        <f>IF($A35="","",'14.要件×機能行列'!AG$64)</f>
        <v/>
      </c>
      <c r="I35" s="5" t="str">
        <f>IF($A35="","",'15.機能×画面行列'!$CD35)</f>
        <v/>
      </c>
      <c r="J35" s="6" t="str">
        <f t="shared" si="0"/>
        <v/>
      </c>
    </row>
    <row r="36" ht="16.5" customHeight="1" spans="1:10">
      <c r="A36" s="5"/>
      <c r="B36" s="8"/>
      <c r="C36" s="8"/>
      <c r="D36" s="5"/>
      <c r="E36" s="5"/>
      <c r="F36" s="5"/>
      <c r="G36" s="5"/>
      <c r="H36" s="5" t="str">
        <f>IF($A36="","",'14.要件×機能行列'!AH$64)</f>
        <v/>
      </c>
      <c r="I36" s="5" t="str">
        <f>IF($A36="","",'15.機能×画面行列'!$CD36)</f>
        <v/>
      </c>
      <c r="J36" s="6" t="str">
        <f t="shared" si="0"/>
        <v/>
      </c>
    </row>
    <row r="37" ht="16.5" customHeight="1" spans="1:10">
      <c r="A37" s="5"/>
      <c r="B37" s="8"/>
      <c r="C37" s="8"/>
      <c r="D37" s="5"/>
      <c r="E37" s="5"/>
      <c r="F37" s="5"/>
      <c r="G37" s="5"/>
      <c r="H37" s="5" t="str">
        <f>IF($A37="","",'14.要件×機能行列'!AI$64)</f>
        <v/>
      </c>
      <c r="I37" s="5" t="str">
        <f>IF($A37="","",'15.機能×画面行列'!$CD37)</f>
        <v/>
      </c>
      <c r="J37" s="6" t="str">
        <f t="shared" si="0"/>
        <v/>
      </c>
    </row>
    <row r="38" ht="16.5" customHeight="1" spans="1:10">
      <c r="A38" s="5"/>
      <c r="B38" s="8"/>
      <c r="C38" s="8"/>
      <c r="D38" s="5"/>
      <c r="E38" s="5"/>
      <c r="F38" s="5"/>
      <c r="G38" s="5"/>
      <c r="H38" s="5" t="str">
        <f>IF($A38="","",'14.要件×機能行列'!AJ$64)</f>
        <v/>
      </c>
      <c r="I38" s="5" t="str">
        <f>IF($A38="","",'15.機能×画面行列'!$CD38)</f>
        <v/>
      </c>
      <c r="J38" s="6" t="str">
        <f t="shared" si="0"/>
        <v/>
      </c>
    </row>
    <row r="39" ht="16.5" customHeight="1" spans="1:10">
      <c r="A39" s="5"/>
      <c r="B39" s="8"/>
      <c r="C39" s="8"/>
      <c r="D39" s="5"/>
      <c r="E39" s="5"/>
      <c r="F39" s="5"/>
      <c r="G39" s="5"/>
      <c r="H39" s="5" t="str">
        <f>IF($A39="","",'14.要件×機能行列'!AK$64)</f>
        <v/>
      </c>
      <c r="I39" s="5" t="str">
        <f>IF($A39="","",'15.機能×画面行列'!$CD39)</f>
        <v/>
      </c>
      <c r="J39" s="6" t="str">
        <f t="shared" si="0"/>
        <v/>
      </c>
    </row>
    <row r="40" ht="16.5" customHeight="1" spans="1:10">
      <c r="A40" s="5"/>
      <c r="B40" s="8"/>
      <c r="C40" s="8"/>
      <c r="D40" s="5"/>
      <c r="E40" s="5"/>
      <c r="F40" s="5"/>
      <c r="G40" s="5"/>
      <c r="H40" s="5" t="str">
        <f>IF($A40="","",'14.要件×機能行列'!AL$64)</f>
        <v/>
      </c>
      <c r="I40" s="5" t="str">
        <f>IF($A40="","",'15.機能×画面行列'!$CD40)</f>
        <v/>
      </c>
      <c r="J40" s="6" t="str">
        <f t="shared" si="0"/>
        <v/>
      </c>
    </row>
    <row r="41" ht="16.5" customHeight="1" spans="1:10">
      <c r="A41" s="5"/>
      <c r="B41" s="8"/>
      <c r="C41" s="8"/>
      <c r="D41" s="5"/>
      <c r="E41" s="5"/>
      <c r="F41" s="5"/>
      <c r="G41" s="5"/>
      <c r="H41" s="5" t="str">
        <f>IF($A41="","",'14.要件×機能行列'!AM$64)</f>
        <v/>
      </c>
      <c r="I41" s="5" t="str">
        <f>IF($A41="","",'15.機能×画面行列'!$CD41)</f>
        <v/>
      </c>
      <c r="J41" s="6" t="str">
        <f t="shared" si="0"/>
        <v/>
      </c>
    </row>
    <row r="42" ht="16.5" customHeight="1" spans="1:10">
      <c r="A42" s="5"/>
      <c r="B42" s="8"/>
      <c r="C42" s="8"/>
      <c r="D42" s="5"/>
      <c r="E42" s="5"/>
      <c r="F42" s="5"/>
      <c r="G42" s="5"/>
      <c r="H42" s="5" t="str">
        <f>IF($A42="","",'14.要件×機能行列'!AN$64)</f>
        <v/>
      </c>
      <c r="I42" s="5" t="str">
        <f>IF($A42="","",'15.機能×画面行列'!$CD42)</f>
        <v/>
      </c>
      <c r="J42" s="6" t="str">
        <f t="shared" si="0"/>
        <v/>
      </c>
    </row>
    <row r="43" ht="16.5" customHeight="1" spans="1:10">
      <c r="A43" s="5"/>
      <c r="B43" s="8"/>
      <c r="C43" s="8"/>
      <c r="D43" s="5"/>
      <c r="E43" s="5"/>
      <c r="F43" s="5"/>
      <c r="G43" s="5"/>
      <c r="H43" s="5" t="str">
        <f>IF($A43="","",'14.要件×機能行列'!AO$64)</f>
        <v/>
      </c>
      <c r="I43" s="5" t="str">
        <f>IF($A43="","",'15.機能×画面行列'!$CD43)</f>
        <v/>
      </c>
      <c r="J43" s="6" t="str">
        <f t="shared" si="0"/>
        <v/>
      </c>
    </row>
    <row r="44" ht="16.5" customHeight="1" spans="1:10">
      <c r="A44" s="5"/>
      <c r="B44" s="8"/>
      <c r="C44" s="8"/>
      <c r="D44" s="5"/>
      <c r="E44" s="5"/>
      <c r="F44" s="5"/>
      <c r="G44" s="5"/>
      <c r="H44" s="5" t="str">
        <f>IF($A44="","",'14.要件×機能行列'!AP$64)</f>
        <v/>
      </c>
      <c r="I44" s="5" t="str">
        <f>IF($A44="","",'15.機能×画面行列'!$CD44)</f>
        <v/>
      </c>
      <c r="J44" s="6" t="str">
        <f t="shared" si="0"/>
        <v/>
      </c>
    </row>
    <row r="45" ht="16.5" customHeight="1" spans="1:10">
      <c r="A45" s="5"/>
      <c r="B45" s="8"/>
      <c r="C45" s="8"/>
      <c r="D45" s="5"/>
      <c r="E45" s="5"/>
      <c r="F45" s="5"/>
      <c r="G45" s="5"/>
      <c r="H45" s="5" t="str">
        <f>IF($A45="","",'14.要件×機能行列'!AQ$64)</f>
        <v/>
      </c>
      <c r="I45" s="5" t="str">
        <f>IF($A45="","",'15.機能×画面行列'!$CD45)</f>
        <v/>
      </c>
      <c r="J45" s="6" t="str">
        <f t="shared" si="0"/>
        <v/>
      </c>
    </row>
    <row r="46" ht="16.5" customHeight="1" spans="1:10">
      <c r="A46" s="5"/>
      <c r="B46" s="8"/>
      <c r="C46" s="8"/>
      <c r="D46" s="5"/>
      <c r="E46" s="5"/>
      <c r="F46" s="5"/>
      <c r="G46" s="5"/>
      <c r="H46" s="5" t="str">
        <f>IF($A46="","",'14.要件×機能行列'!AR$64)</f>
        <v/>
      </c>
      <c r="I46" s="5" t="str">
        <f>IF($A46="","",'15.機能×画面行列'!$CD46)</f>
        <v/>
      </c>
      <c r="J46" s="6" t="str">
        <f t="shared" si="0"/>
        <v/>
      </c>
    </row>
    <row r="47" ht="16.5" customHeight="1" spans="1:10">
      <c r="A47" s="5"/>
      <c r="B47" s="8"/>
      <c r="C47" s="8"/>
      <c r="D47" s="5"/>
      <c r="E47" s="5"/>
      <c r="F47" s="5"/>
      <c r="G47" s="5"/>
      <c r="H47" s="5" t="str">
        <f>IF($A47="","",'14.要件×機能行列'!AS$64)</f>
        <v/>
      </c>
      <c r="I47" s="5" t="str">
        <f>IF($A47="","",'15.機能×画面行列'!$CD47)</f>
        <v/>
      </c>
      <c r="J47" s="6" t="str">
        <f t="shared" si="0"/>
        <v/>
      </c>
    </row>
    <row r="48" ht="16.5" customHeight="1" spans="1:10">
      <c r="A48" s="5"/>
      <c r="B48" s="8"/>
      <c r="C48" s="8"/>
      <c r="D48" s="5"/>
      <c r="E48" s="5"/>
      <c r="F48" s="5"/>
      <c r="G48" s="5"/>
      <c r="H48" s="5" t="str">
        <f>IF($A48="","",'14.要件×機能行列'!AT$64)</f>
        <v/>
      </c>
      <c r="I48" s="5" t="str">
        <f>IF($A48="","",'15.機能×画面行列'!$CD48)</f>
        <v/>
      </c>
      <c r="J48" s="6" t="str">
        <f t="shared" si="0"/>
        <v/>
      </c>
    </row>
    <row r="49" ht="16.5" customHeight="1" spans="1:10">
      <c r="A49" s="5"/>
      <c r="B49" s="8"/>
      <c r="C49" s="8"/>
      <c r="D49" s="5"/>
      <c r="E49" s="5"/>
      <c r="F49" s="5"/>
      <c r="G49" s="5"/>
      <c r="H49" s="5" t="str">
        <f>IF($A49="","",'14.要件×機能行列'!AU$64)</f>
        <v/>
      </c>
      <c r="I49" s="5" t="str">
        <f>IF($A49="","",'15.機能×画面行列'!$CD49)</f>
        <v/>
      </c>
      <c r="J49" s="6" t="str">
        <f t="shared" si="0"/>
        <v/>
      </c>
    </row>
    <row r="50" ht="16.5" customHeight="1" spans="1:10">
      <c r="A50" s="5"/>
      <c r="B50" s="8"/>
      <c r="C50" s="8"/>
      <c r="D50" s="5"/>
      <c r="E50" s="5"/>
      <c r="F50" s="5"/>
      <c r="G50" s="5"/>
      <c r="H50" s="5" t="str">
        <f>IF($A50="","",'14.要件×機能行列'!AV$64)</f>
        <v/>
      </c>
      <c r="I50" s="5" t="str">
        <f>IF($A50="","",'15.機能×画面行列'!$CD50)</f>
        <v/>
      </c>
      <c r="J50" s="6" t="str">
        <f t="shared" si="0"/>
        <v/>
      </c>
    </row>
    <row r="51" ht="16.5" customHeight="1" spans="1:10">
      <c r="A51" s="5"/>
      <c r="B51" s="8"/>
      <c r="C51" s="8"/>
      <c r="D51" s="5"/>
      <c r="E51" s="5"/>
      <c r="F51" s="5"/>
      <c r="G51" s="5"/>
      <c r="H51" s="5" t="str">
        <f>IF($A51="","",'14.要件×機能行列'!AW$64)</f>
        <v/>
      </c>
      <c r="I51" s="5" t="str">
        <f>IF($A51="","",'15.機能×画面行列'!$CD51)</f>
        <v/>
      </c>
      <c r="J51" s="6" t="str">
        <f t="shared" si="0"/>
        <v/>
      </c>
    </row>
    <row r="52" ht="16.5" customHeight="1" spans="1:10">
      <c r="A52" s="5"/>
      <c r="B52" s="8"/>
      <c r="C52" s="8"/>
      <c r="D52" s="5"/>
      <c r="E52" s="5"/>
      <c r="F52" s="5"/>
      <c r="G52" s="5"/>
      <c r="H52" s="5" t="str">
        <f>IF($A52="","",'14.要件×機能行列'!AX$64)</f>
        <v/>
      </c>
      <c r="I52" s="5" t="str">
        <f>IF($A52="","",'15.機能×画面行列'!$CD52)</f>
        <v/>
      </c>
      <c r="J52" s="6" t="str">
        <f t="shared" si="0"/>
        <v/>
      </c>
    </row>
    <row r="53" ht="16.5" customHeight="1" spans="1:10">
      <c r="A53" s="5"/>
      <c r="B53" s="8"/>
      <c r="C53" s="8"/>
      <c r="D53" s="5"/>
      <c r="E53" s="5"/>
      <c r="F53" s="5"/>
      <c r="G53" s="5"/>
      <c r="H53" s="5" t="str">
        <f>IF($A53="","",'14.要件×機能行列'!AY$64)</f>
        <v/>
      </c>
      <c r="I53" s="5" t="str">
        <f>IF($A53="","",'15.機能×画面行列'!$CD53)</f>
        <v/>
      </c>
      <c r="J53" s="6" t="str">
        <f t="shared" si="0"/>
        <v/>
      </c>
    </row>
    <row r="54" ht="16.5" customHeight="1" spans="1:10">
      <c r="A54" s="5"/>
      <c r="B54" s="8"/>
      <c r="C54" s="8"/>
      <c r="D54" s="5"/>
      <c r="E54" s="5"/>
      <c r="F54" s="5"/>
      <c r="G54" s="5"/>
      <c r="H54" s="5" t="str">
        <f>IF($A54="","",'14.要件×機能行列'!AZ$64)</f>
        <v/>
      </c>
      <c r="I54" s="5" t="str">
        <f>IF($A54="","",'15.機能×画面行列'!$CD54)</f>
        <v/>
      </c>
      <c r="J54" s="6" t="str">
        <f t="shared" si="0"/>
        <v/>
      </c>
    </row>
    <row r="55" ht="16.5" customHeight="1" spans="1:10">
      <c r="A55" s="5"/>
      <c r="B55" s="8"/>
      <c r="C55" s="8"/>
      <c r="D55" s="5"/>
      <c r="E55" s="5"/>
      <c r="F55" s="5"/>
      <c r="G55" s="5"/>
      <c r="H55" s="5" t="str">
        <f>IF($A55="","",'14.要件×機能行列'!BA$64)</f>
        <v/>
      </c>
      <c r="I55" s="5" t="str">
        <f>IF($A55="","",'15.機能×画面行列'!$CD55)</f>
        <v/>
      </c>
      <c r="J55" s="6" t="str">
        <f t="shared" si="0"/>
        <v/>
      </c>
    </row>
    <row r="56" ht="16.5" customHeight="1" spans="1:10">
      <c r="A56" s="5"/>
      <c r="B56" s="8"/>
      <c r="C56" s="8"/>
      <c r="D56" s="5"/>
      <c r="E56" s="5"/>
      <c r="F56" s="5"/>
      <c r="G56" s="5"/>
      <c r="H56" s="5" t="str">
        <f>IF($A56="","",'14.要件×機能行列'!BB$64)</f>
        <v/>
      </c>
      <c r="I56" s="5" t="str">
        <f>IF($A56="","",'15.機能×画面行列'!$CD56)</f>
        <v/>
      </c>
      <c r="J56" s="6" t="str">
        <f t="shared" si="0"/>
        <v/>
      </c>
    </row>
    <row r="57" ht="16.5" customHeight="1" spans="1:10">
      <c r="A57" s="5"/>
      <c r="B57" s="8"/>
      <c r="C57" s="8"/>
      <c r="D57" s="5"/>
      <c r="E57" s="5"/>
      <c r="F57" s="5"/>
      <c r="G57" s="5"/>
      <c r="H57" s="5" t="str">
        <f>IF($A57="","",'14.要件×機能行列'!BC$64)</f>
        <v/>
      </c>
      <c r="I57" s="5" t="str">
        <f>IF($A57="","",'15.機能×画面行列'!$CD57)</f>
        <v/>
      </c>
      <c r="J57" s="6" t="str">
        <f t="shared" si="0"/>
        <v/>
      </c>
    </row>
    <row r="58" ht="16.5" customHeight="1" spans="1:10">
      <c r="A58" s="5"/>
      <c r="B58" s="8"/>
      <c r="C58" s="8"/>
      <c r="D58" s="5"/>
      <c r="E58" s="5"/>
      <c r="F58" s="5"/>
      <c r="G58" s="5"/>
      <c r="H58" s="5" t="str">
        <f>IF($A58="","",'14.要件×機能行列'!BD$64)</f>
        <v/>
      </c>
      <c r="I58" s="5" t="str">
        <f>IF($A58="","",'15.機能×画面行列'!$CD58)</f>
        <v/>
      </c>
      <c r="J58" s="6" t="str">
        <f t="shared" si="0"/>
        <v/>
      </c>
    </row>
    <row r="59" ht="16.5" customHeight="1" spans="1:10">
      <c r="A59" s="5"/>
      <c r="B59" s="8"/>
      <c r="C59" s="8"/>
      <c r="D59" s="5"/>
      <c r="E59" s="5"/>
      <c r="F59" s="5"/>
      <c r="G59" s="5"/>
      <c r="H59" s="5" t="str">
        <f>IF($A59="","",'14.要件×機能行列'!BE$64)</f>
        <v/>
      </c>
      <c r="I59" s="5" t="str">
        <f>IF($A59="","",'15.機能×画面行列'!$CD59)</f>
        <v/>
      </c>
      <c r="J59" s="6" t="str">
        <f t="shared" si="0"/>
        <v/>
      </c>
    </row>
    <row r="60" ht="16.5" customHeight="1" spans="1:10">
      <c r="A60" s="5"/>
      <c r="B60" s="8"/>
      <c r="C60" s="8"/>
      <c r="D60" s="5"/>
      <c r="E60" s="5"/>
      <c r="F60" s="5"/>
      <c r="G60" s="5"/>
      <c r="H60" s="5" t="str">
        <f>IF($A60="","",'14.要件×機能行列'!BF$64)</f>
        <v/>
      </c>
      <c r="I60" s="5" t="str">
        <f>IF($A60="","",'15.機能×画面行列'!$CD60)</f>
        <v/>
      </c>
      <c r="J60" s="6" t="str">
        <f t="shared" si="0"/>
        <v/>
      </c>
    </row>
    <row r="61" ht="16.5" customHeight="1" spans="1:10">
      <c r="A61" s="5"/>
      <c r="B61" s="8"/>
      <c r="C61" s="8"/>
      <c r="D61" s="5"/>
      <c r="E61" s="5"/>
      <c r="F61" s="5"/>
      <c r="G61" s="5"/>
      <c r="H61" s="5" t="str">
        <f>IF($A61="","",'14.要件×機能行列'!BG$64)</f>
        <v/>
      </c>
      <c r="I61" s="5" t="str">
        <f>IF($A61="","",'15.機能×画面行列'!$CD61)</f>
        <v/>
      </c>
      <c r="J61" s="6" t="str">
        <f t="shared" si="0"/>
        <v/>
      </c>
    </row>
    <row r="62" ht="16.5" customHeight="1" spans="1:10">
      <c r="A62" s="5"/>
      <c r="B62" s="8"/>
      <c r="C62" s="8"/>
      <c r="D62" s="5"/>
      <c r="E62" s="5"/>
      <c r="F62" s="5"/>
      <c r="G62" s="5"/>
      <c r="H62" s="5" t="str">
        <f>IF($A62="","",'14.要件×機能行列'!BH$64)</f>
        <v/>
      </c>
      <c r="I62" s="5" t="str">
        <f>IF($A62="","",'15.機能×画面行列'!$CD62)</f>
        <v/>
      </c>
      <c r="J62" s="6" t="str">
        <f t="shared" si="0"/>
        <v/>
      </c>
    </row>
    <row r="63" ht="16.5" customHeight="1" spans="1:10">
      <c r="A63" s="5"/>
      <c r="B63" s="8"/>
      <c r="C63" s="8"/>
      <c r="D63" s="5"/>
      <c r="E63" s="5"/>
      <c r="F63" s="5"/>
      <c r="G63" s="5"/>
      <c r="H63" s="5" t="str">
        <f>IF($A63="","",'14.要件×機能行列'!BI$64)</f>
        <v/>
      </c>
      <c r="I63" s="5" t="str">
        <f>IF($A63="","",'15.機能×画面行列'!$CD63)</f>
        <v/>
      </c>
      <c r="J63" s="6" t="str">
        <f t="shared" si="0"/>
        <v/>
      </c>
    </row>
  </sheetData>
  <autoFilter xmlns:etc="http://www.wps.cn/officeDocument/2017/etCustomData" ref="A3:J63" etc:filterBottomFollowUsedRange="0">
    <extLst/>
  </autoFilter>
  <mergeCells count="2">
    <mergeCell ref="A1:J1"/>
    <mergeCell ref="A2:J2"/>
  </mergeCells>
  <conditionalFormatting sqref="J4:J63">
    <cfRule type="expression" dxfId="0" priority="2">
      <formula>$J4="OK"</formula>
    </cfRule>
  </conditionalFormatting>
  <conditionalFormatting sqref="A4:J63">
    <cfRule type="expression" dxfId="1" priority="1">
      <formula>OR($J4="⚠ 要件未紐付",$J4="⚠ 画面未紐付")</formula>
    </cfRule>
  </conditionalFormatting>
  <dataValidations count="2">
    <dataValidation type="list" allowBlank="1" sqref="F4:F63">
      <formula1>"新規,改修,共通"</formula1>
    </dataValidation>
    <dataValidation type="list" allowBlank="1" sqref="G4:G63">
      <formula1>"Must,Should,Could,Won't,—（対象外）"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I8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19" sqref="F19"/>
    </sheetView>
  </sheetViews>
  <sheetFormatPr defaultColWidth="9" defaultRowHeight="13.5"/>
  <cols>
    <col min="1" max="1" width="12" customWidth="1"/>
    <col min="2" max="2" width="24" customWidth="1"/>
    <col min="3" max="3" width="60" customWidth="1"/>
    <col min="4" max="4" width="14" customWidth="1"/>
    <col min="5" max="5" width="20" customWidth="1"/>
    <col min="6" max="6" width="12" customWidth="1"/>
    <col min="7" max="7" width="11" customWidth="1"/>
    <col min="8" max="8" width="14" customWidth="1"/>
    <col min="9" max="9" width="26" customWidth="1"/>
  </cols>
  <sheetData>
    <row r="1" ht="26" customHeight="1" spans="1:9">
      <c r="A1" s="1" t="s">
        <v>520</v>
      </c>
    </row>
    <row r="2" ht="22" customHeight="1" spans="1:9">
      <c r="A2" s="2" t="s">
        <v>521</v>
      </c>
    </row>
    <row r="3" ht="30" customHeight="1" spans="1:9">
      <c r="A3" s="3" t="s">
        <v>522</v>
      </c>
      <c r="B3" s="3" t="s">
        <v>523</v>
      </c>
      <c r="C3" s="3" t="s">
        <v>524</v>
      </c>
      <c r="D3" s="3" t="s">
        <v>525</v>
      </c>
      <c r="E3" s="3" t="s">
        <v>526</v>
      </c>
      <c r="F3" s="3" t="s">
        <v>527</v>
      </c>
      <c r="G3" s="3" t="s">
        <v>150</v>
      </c>
      <c r="H3" s="3" t="s">
        <v>151</v>
      </c>
      <c r="I3" s="3" t="s">
        <v>153</v>
      </c>
    </row>
    <row r="4" ht="33" customHeight="1" spans="1:9">
      <c r="A4" s="24" t="s">
        <v>528</v>
      </c>
      <c r="B4" s="25" t="s">
        <v>529</v>
      </c>
      <c r="C4" s="25" t="s">
        <v>530</v>
      </c>
      <c r="D4" s="24" t="s">
        <v>529</v>
      </c>
      <c r="E4" s="24" t="s">
        <v>531</v>
      </c>
      <c r="F4" s="24" t="s">
        <v>532</v>
      </c>
      <c r="G4" s="5">
        <f>IF($A4="","",'15.機能×画面行列'!B$64)</f>
        <v>1</v>
      </c>
      <c r="H4" s="6" t="str">
        <f t="shared" ref="H4:H67" si="0">IF($A4="","",IF($G4="","",IF($G4=0,"⚠ 未割当","OK")))</f>
        <v>OK</v>
      </c>
      <c r="I4" t="s">
        <v>412</v>
      </c>
    </row>
    <row r="5" ht="33" customHeight="1" spans="1:9">
      <c r="A5" s="24" t="s">
        <v>533</v>
      </c>
      <c r="B5" s="25" t="s">
        <v>534</v>
      </c>
      <c r="C5" s="25" t="s">
        <v>535</v>
      </c>
      <c r="D5" s="24" t="s">
        <v>534</v>
      </c>
      <c r="E5" s="24" t="s">
        <v>531</v>
      </c>
      <c r="F5" s="24" t="s">
        <v>532</v>
      </c>
      <c r="G5" s="5">
        <f>IF($A5="","",'15.機能×画面行列'!C$64)</f>
        <v>1</v>
      </c>
      <c r="H5" s="6" t="str">
        <f t="shared" si="0"/>
        <v>OK</v>
      </c>
      <c r="I5" t="s">
        <v>412</v>
      </c>
    </row>
    <row r="6" ht="49.5" customHeight="1" spans="1:9">
      <c r="A6" s="24" t="s">
        <v>536</v>
      </c>
      <c r="B6" s="25" t="s">
        <v>537</v>
      </c>
      <c r="C6" s="25" t="s">
        <v>538</v>
      </c>
      <c r="D6" s="24" t="s">
        <v>539</v>
      </c>
      <c r="E6" s="24" t="s">
        <v>540</v>
      </c>
      <c r="F6" s="24" t="s">
        <v>532</v>
      </c>
      <c r="G6" s="5">
        <f>IF($A6="","",'15.機能×画面行列'!D$64)</f>
        <v>6</v>
      </c>
      <c r="H6" s="6" t="str">
        <f t="shared" si="0"/>
        <v>OK</v>
      </c>
      <c r="I6" t="s">
        <v>412</v>
      </c>
    </row>
    <row r="7" ht="49.5" customHeight="1" spans="1:9">
      <c r="A7" s="24" t="s">
        <v>541</v>
      </c>
      <c r="B7" s="25" t="s">
        <v>542</v>
      </c>
      <c r="C7" s="25" t="s">
        <v>543</v>
      </c>
      <c r="D7" s="24" t="s">
        <v>539</v>
      </c>
      <c r="E7" s="24" t="s">
        <v>544</v>
      </c>
      <c r="F7" s="24" t="s">
        <v>532</v>
      </c>
      <c r="G7" s="5">
        <f>IF($A7="","",'15.機能×画面行列'!E$64)</f>
        <v>5</v>
      </c>
      <c r="H7" s="6" t="str">
        <f t="shared" si="0"/>
        <v>OK</v>
      </c>
      <c r="I7" t="s">
        <v>412</v>
      </c>
    </row>
    <row r="8" ht="33" customHeight="1" spans="1:9">
      <c r="A8" s="24" t="s">
        <v>545</v>
      </c>
      <c r="B8" s="25" t="s">
        <v>453</v>
      </c>
      <c r="C8" s="25" t="s">
        <v>546</v>
      </c>
      <c r="D8" s="24" t="s">
        <v>547</v>
      </c>
      <c r="E8" s="24" t="s">
        <v>548</v>
      </c>
      <c r="F8" s="24" t="s">
        <v>532</v>
      </c>
      <c r="G8" s="5">
        <f>IF($A8="","",'15.機能×画面行列'!F$64)</f>
        <v>1</v>
      </c>
      <c r="H8" s="6" t="str">
        <f t="shared" si="0"/>
        <v>OK</v>
      </c>
      <c r="I8" t="s">
        <v>412</v>
      </c>
    </row>
    <row r="9" ht="49.5" customHeight="1" spans="1:9">
      <c r="A9" s="24" t="s">
        <v>549</v>
      </c>
      <c r="B9" s="25" t="s">
        <v>550</v>
      </c>
      <c r="C9" s="25" t="s">
        <v>551</v>
      </c>
      <c r="D9" s="24" t="s">
        <v>529</v>
      </c>
      <c r="E9" s="24" t="s">
        <v>552</v>
      </c>
      <c r="F9" s="24" t="s">
        <v>500</v>
      </c>
      <c r="G9" s="5">
        <f>IF($A9="","",'15.機能×画面行列'!G$64)</f>
        <v>1</v>
      </c>
      <c r="H9" s="6" t="str">
        <f t="shared" si="0"/>
        <v>OK</v>
      </c>
      <c r="I9" t="s">
        <v>553</v>
      </c>
    </row>
    <row r="10" ht="33" customHeight="1" spans="1:9">
      <c r="A10" s="24" t="s">
        <v>554</v>
      </c>
      <c r="B10" s="25" t="s">
        <v>555</v>
      </c>
      <c r="C10" s="25" t="s">
        <v>556</v>
      </c>
      <c r="D10" s="24" t="s">
        <v>557</v>
      </c>
      <c r="E10" s="24" t="s">
        <v>499</v>
      </c>
      <c r="F10" s="24" t="s">
        <v>558</v>
      </c>
      <c r="G10" s="5">
        <f>IF($A10="","",'15.機能×画面行列'!H$64)</f>
        <v>3</v>
      </c>
      <c r="H10" s="6" t="str">
        <f t="shared" si="0"/>
        <v>OK</v>
      </c>
      <c r="I10" t="s">
        <v>559</v>
      </c>
    </row>
    <row r="11" ht="16.5" customHeight="1" spans="1:9">
      <c r="A11" s="24"/>
      <c r="B11" s="25"/>
      <c r="C11" s="25"/>
      <c r="D11" s="24"/>
      <c r="E11" s="24"/>
      <c r="F11" s="24"/>
      <c r="G11" s="5" t="str">
        <f>IF($A11="","",'15.機能×画面行列'!I$64)</f>
        <v/>
      </c>
      <c r="H11" s="6" t="str">
        <f t="shared" si="0"/>
        <v/>
      </c>
    </row>
    <row r="12" ht="16.5" customHeight="1" spans="1:9">
      <c r="A12" s="24"/>
      <c r="B12" s="25"/>
      <c r="C12" s="25"/>
      <c r="D12" s="24"/>
      <c r="E12" s="24"/>
      <c r="F12" s="24"/>
      <c r="G12" s="5" t="str">
        <f>IF($A12="","",'15.機能×画面行列'!J$64)</f>
        <v/>
      </c>
      <c r="H12" s="6" t="str">
        <f t="shared" si="0"/>
        <v/>
      </c>
    </row>
    <row r="13" ht="16.5" customHeight="1" spans="1:9">
      <c r="A13" s="24"/>
      <c r="B13" s="25"/>
      <c r="C13" s="25"/>
      <c r="D13" s="24"/>
      <c r="E13" s="24"/>
      <c r="F13" s="24"/>
      <c r="G13" s="5" t="str">
        <f>IF($A13="","",'15.機能×画面行列'!K$64)</f>
        <v/>
      </c>
      <c r="H13" s="6" t="str">
        <f t="shared" si="0"/>
        <v/>
      </c>
    </row>
    <row r="14" ht="16.5" customHeight="1" spans="1:9">
      <c r="A14" s="24"/>
      <c r="B14" s="25"/>
      <c r="C14" s="25"/>
      <c r="D14" s="24"/>
      <c r="E14" s="24"/>
      <c r="F14" s="24"/>
      <c r="G14" s="5" t="str">
        <f>IF($A14="","",'15.機能×画面行列'!L$64)</f>
        <v/>
      </c>
      <c r="H14" s="6" t="str">
        <f t="shared" si="0"/>
        <v/>
      </c>
    </row>
    <row r="15" ht="16.5" customHeight="1" spans="1:9">
      <c r="A15" s="24"/>
      <c r="B15" s="25"/>
      <c r="C15" s="25"/>
      <c r="D15" s="24"/>
      <c r="E15" s="24"/>
      <c r="F15" s="24"/>
      <c r="G15" s="5" t="str">
        <f>IF($A15="","",'15.機能×画面行列'!M$64)</f>
        <v/>
      </c>
      <c r="H15" s="6" t="str">
        <f t="shared" si="0"/>
        <v/>
      </c>
    </row>
    <row r="16" ht="16.5" customHeight="1" spans="1:9">
      <c r="A16" s="5"/>
      <c r="B16" s="8"/>
      <c r="C16" s="8"/>
      <c r="D16" s="5"/>
      <c r="E16" s="5"/>
      <c r="F16" s="5"/>
      <c r="G16" s="5" t="str">
        <f>IF($A16="","",'15.機能×画面行列'!N$64)</f>
        <v/>
      </c>
      <c r="H16" s="6" t="str">
        <f t="shared" si="0"/>
        <v/>
      </c>
    </row>
    <row r="17" ht="16.5" customHeight="1" spans="1:8">
      <c r="A17" s="5"/>
      <c r="B17" s="8"/>
      <c r="C17" s="8"/>
      <c r="D17" s="5"/>
      <c r="E17" s="5"/>
      <c r="F17" s="5"/>
      <c r="G17" s="5" t="str">
        <f>IF($A17="","",'15.機能×画面行列'!O$64)</f>
        <v/>
      </c>
      <c r="H17" s="6" t="str">
        <f t="shared" si="0"/>
        <v/>
      </c>
    </row>
    <row r="18" ht="16.5" customHeight="1" spans="1:8">
      <c r="A18" s="5"/>
      <c r="B18" s="8"/>
      <c r="C18" s="8"/>
      <c r="D18" s="5"/>
      <c r="E18" s="5"/>
      <c r="F18" s="5"/>
      <c r="G18" s="5" t="str">
        <f>IF($A18="","",'15.機能×画面行列'!P$64)</f>
        <v/>
      </c>
      <c r="H18" s="6" t="str">
        <f t="shared" si="0"/>
        <v/>
      </c>
    </row>
    <row r="19" ht="16.5" customHeight="1" spans="1:8">
      <c r="A19" s="5"/>
      <c r="B19" s="8"/>
      <c r="C19" s="8"/>
      <c r="D19" s="5"/>
      <c r="E19" s="5"/>
      <c r="F19" s="5"/>
      <c r="G19" s="5" t="str">
        <f>IF($A19="","",'15.機能×画面行列'!Q$64)</f>
        <v/>
      </c>
      <c r="H19" s="6" t="str">
        <f t="shared" si="0"/>
        <v/>
      </c>
    </row>
    <row r="20" ht="16.5" customHeight="1" spans="1:8">
      <c r="A20" s="5"/>
      <c r="B20" s="8"/>
      <c r="C20" s="8"/>
      <c r="D20" s="5"/>
      <c r="E20" s="5"/>
      <c r="F20" s="5"/>
      <c r="G20" s="5" t="str">
        <f>IF($A20="","",'15.機能×画面行列'!R$64)</f>
        <v/>
      </c>
      <c r="H20" s="6" t="str">
        <f t="shared" si="0"/>
        <v/>
      </c>
    </row>
    <row r="21" ht="16.5" customHeight="1" spans="1:8">
      <c r="A21" s="5"/>
      <c r="B21" s="8"/>
      <c r="C21" s="8"/>
      <c r="D21" s="5"/>
      <c r="E21" s="5"/>
      <c r="F21" s="5"/>
      <c r="G21" s="5" t="str">
        <f>IF($A21="","",'15.機能×画面行列'!S$64)</f>
        <v/>
      </c>
      <c r="H21" s="6" t="str">
        <f t="shared" si="0"/>
        <v/>
      </c>
    </row>
    <row r="22" ht="16.5" customHeight="1" spans="1:8">
      <c r="A22" s="5"/>
      <c r="B22" s="8"/>
      <c r="C22" s="8"/>
      <c r="D22" s="5"/>
      <c r="E22" s="5"/>
      <c r="F22" s="5"/>
      <c r="G22" s="5" t="str">
        <f>IF($A22="","",'15.機能×画面行列'!T$64)</f>
        <v/>
      </c>
      <c r="H22" s="6" t="str">
        <f t="shared" si="0"/>
        <v/>
      </c>
    </row>
    <row r="23" ht="16.5" customHeight="1" spans="1:8">
      <c r="A23" s="5"/>
      <c r="B23" s="8"/>
      <c r="C23" s="8"/>
      <c r="D23" s="5"/>
      <c r="E23" s="5"/>
      <c r="F23" s="5"/>
      <c r="G23" s="5" t="str">
        <f>IF($A23="","",'15.機能×画面行列'!U$64)</f>
        <v/>
      </c>
      <c r="H23" s="6" t="str">
        <f t="shared" si="0"/>
        <v/>
      </c>
    </row>
    <row r="24" ht="16.5" customHeight="1" spans="1:8">
      <c r="A24" s="5"/>
      <c r="B24" s="8"/>
      <c r="C24" s="8"/>
      <c r="D24" s="5"/>
      <c r="E24" s="5"/>
      <c r="F24" s="5"/>
      <c r="G24" s="5" t="str">
        <f>IF($A24="","",'15.機能×画面行列'!V$64)</f>
        <v/>
      </c>
      <c r="H24" s="6" t="str">
        <f t="shared" si="0"/>
        <v/>
      </c>
    </row>
    <row r="25" ht="16.5" customHeight="1" spans="1:8">
      <c r="A25" s="5"/>
      <c r="B25" s="8"/>
      <c r="C25" s="8"/>
      <c r="D25" s="5"/>
      <c r="E25" s="5"/>
      <c r="F25" s="5"/>
      <c r="G25" s="5" t="str">
        <f>IF($A25="","",'15.機能×画面行列'!W$64)</f>
        <v/>
      </c>
      <c r="H25" s="6" t="str">
        <f t="shared" si="0"/>
        <v/>
      </c>
    </row>
    <row r="26" ht="16.5" customHeight="1" spans="1:8">
      <c r="A26" s="5"/>
      <c r="B26" s="8"/>
      <c r="C26" s="8"/>
      <c r="D26" s="5"/>
      <c r="E26" s="5"/>
      <c r="F26" s="5"/>
      <c r="G26" s="5" t="str">
        <f>IF($A26="","",'15.機能×画面行列'!X$64)</f>
        <v/>
      </c>
      <c r="H26" s="6" t="str">
        <f t="shared" si="0"/>
        <v/>
      </c>
    </row>
    <row r="27" ht="16.5" customHeight="1" spans="1:8">
      <c r="A27" s="5"/>
      <c r="B27" s="8"/>
      <c r="C27" s="8"/>
      <c r="D27" s="5"/>
      <c r="E27" s="5"/>
      <c r="F27" s="5"/>
      <c r="G27" s="5" t="str">
        <f>IF($A27="","",'15.機能×画面行列'!Y$64)</f>
        <v/>
      </c>
      <c r="H27" s="6" t="str">
        <f t="shared" si="0"/>
        <v/>
      </c>
    </row>
    <row r="28" ht="16.5" customHeight="1" spans="1:8">
      <c r="A28" s="5"/>
      <c r="B28" s="8"/>
      <c r="C28" s="8"/>
      <c r="D28" s="5"/>
      <c r="E28" s="5"/>
      <c r="F28" s="5"/>
      <c r="G28" s="5" t="str">
        <f>IF($A28="","",'15.機能×画面行列'!Z$64)</f>
        <v/>
      </c>
      <c r="H28" s="6" t="str">
        <f t="shared" si="0"/>
        <v/>
      </c>
    </row>
    <row r="29" ht="16.5" customHeight="1" spans="1:8">
      <c r="A29" s="5"/>
      <c r="B29" s="8"/>
      <c r="C29" s="8"/>
      <c r="D29" s="5"/>
      <c r="E29" s="5"/>
      <c r="F29" s="5"/>
      <c r="G29" s="5" t="str">
        <f>IF($A29="","",'15.機能×画面行列'!AA$64)</f>
        <v/>
      </c>
      <c r="H29" s="6" t="str">
        <f t="shared" si="0"/>
        <v/>
      </c>
    </row>
    <row r="30" ht="16.5" customHeight="1" spans="1:8">
      <c r="A30" s="5"/>
      <c r="B30" s="8"/>
      <c r="C30" s="8"/>
      <c r="D30" s="5"/>
      <c r="E30" s="5"/>
      <c r="F30" s="5"/>
      <c r="G30" s="5" t="str">
        <f>IF($A30="","",'15.機能×画面行列'!AB$64)</f>
        <v/>
      </c>
      <c r="H30" s="6" t="str">
        <f t="shared" si="0"/>
        <v/>
      </c>
    </row>
    <row r="31" ht="16.5" customHeight="1" spans="1:8">
      <c r="A31" s="5"/>
      <c r="B31" s="8"/>
      <c r="C31" s="8"/>
      <c r="D31" s="5"/>
      <c r="E31" s="5"/>
      <c r="F31" s="5"/>
      <c r="G31" s="5" t="str">
        <f>IF($A31="","",'15.機能×画面行列'!AC$64)</f>
        <v/>
      </c>
      <c r="H31" s="6" t="str">
        <f t="shared" si="0"/>
        <v/>
      </c>
    </row>
    <row r="32" ht="16.5" customHeight="1" spans="1:8">
      <c r="A32" s="5"/>
      <c r="B32" s="8"/>
      <c r="C32" s="8"/>
      <c r="D32" s="5"/>
      <c r="E32" s="5"/>
      <c r="F32" s="5"/>
      <c r="G32" s="5" t="str">
        <f>IF($A32="","",'15.機能×画面行列'!AD$64)</f>
        <v/>
      </c>
      <c r="H32" s="6" t="str">
        <f t="shared" si="0"/>
        <v/>
      </c>
    </row>
    <row r="33" ht="16.5" customHeight="1" spans="1:8">
      <c r="A33" s="5"/>
      <c r="B33" s="8"/>
      <c r="C33" s="8"/>
      <c r="D33" s="5"/>
      <c r="E33" s="5"/>
      <c r="F33" s="5"/>
      <c r="G33" s="5" t="str">
        <f>IF($A33="","",'15.機能×画面行列'!AE$64)</f>
        <v/>
      </c>
      <c r="H33" s="6" t="str">
        <f t="shared" si="0"/>
        <v/>
      </c>
    </row>
    <row r="34" ht="16.5" customHeight="1" spans="1:8">
      <c r="A34" s="5"/>
      <c r="B34" s="8"/>
      <c r="C34" s="8"/>
      <c r="D34" s="5"/>
      <c r="E34" s="5"/>
      <c r="F34" s="5"/>
      <c r="G34" s="5" t="str">
        <f>IF($A34="","",'15.機能×画面行列'!AF$64)</f>
        <v/>
      </c>
      <c r="H34" s="6" t="str">
        <f t="shared" si="0"/>
        <v/>
      </c>
    </row>
    <row r="35" ht="16.5" customHeight="1" spans="1:8">
      <c r="A35" s="5"/>
      <c r="B35" s="8"/>
      <c r="C35" s="8"/>
      <c r="D35" s="5"/>
      <c r="E35" s="5"/>
      <c r="F35" s="5"/>
      <c r="G35" s="5" t="str">
        <f>IF($A35="","",'15.機能×画面行列'!AG$64)</f>
        <v/>
      </c>
      <c r="H35" s="6" t="str">
        <f t="shared" si="0"/>
        <v/>
      </c>
    </row>
    <row r="36" ht="16.5" customHeight="1" spans="1:8">
      <c r="A36" s="5"/>
      <c r="B36" s="8"/>
      <c r="C36" s="8"/>
      <c r="D36" s="5"/>
      <c r="E36" s="5"/>
      <c r="F36" s="5"/>
      <c r="G36" s="5" t="str">
        <f>IF($A36="","",'15.機能×画面行列'!AH$64)</f>
        <v/>
      </c>
      <c r="H36" s="6" t="str">
        <f t="shared" si="0"/>
        <v/>
      </c>
    </row>
    <row r="37" ht="16.5" customHeight="1" spans="1:8">
      <c r="A37" s="5"/>
      <c r="B37" s="8"/>
      <c r="C37" s="8"/>
      <c r="D37" s="5"/>
      <c r="E37" s="5"/>
      <c r="F37" s="5"/>
      <c r="G37" s="5" t="str">
        <f>IF($A37="","",'15.機能×画面行列'!AI$64)</f>
        <v/>
      </c>
      <c r="H37" s="6" t="str">
        <f t="shared" si="0"/>
        <v/>
      </c>
    </row>
    <row r="38" ht="16.5" customHeight="1" spans="1:8">
      <c r="A38" s="5"/>
      <c r="B38" s="8"/>
      <c r="C38" s="8"/>
      <c r="D38" s="5"/>
      <c r="E38" s="5"/>
      <c r="F38" s="5"/>
      <c r="G38" s="5" t="str">
        <f>IF($A38="","",'15.機能×画面行列'!AJ$64)</f>
        <v/>
      </c>
      <c r="H38" s="6" t="str">
        <f t="shared" si="0"/>
        <v/>
      </c>
    </row>
    <row r="39" ht="16.5" customHeight="1" spans="1:8">
      <c r="A39" s="5"/>
      <c r="B39" s="8"/>
      <c r="C39" s="8"/>
      <c r="D39" s="5"/>
      <c r="E39" s="5"/>
      <c r="F39" s="5"/>
      <c r="G39" s="5" t="str">
        <f>IF($A39="","",'15.機能×画面行列'!AK$64)</f>
        <v/>
      </c>
      <c r="H39" s="6" t="str">
        <f t="shared" si="0"/>
        <v/>
      </c>
    </row>
    <row r="40" ht="16.5" customHeight="1" spans="1:8">
      <c r="A40" s="5"/>
      <c r="B40" s="8"/>
      <c r="C40" s="8"/>
      <c r="D40" s="5"/>
      <c r="E40" s="5"/>
      <c r="F40" s="5"/>
      <c r="G40" s="5" t="str">
        <f>IF($A40="","",'15.機能×画面行列'!AL$64)</f>
        <v/>
      </c>
      <c r="H40" s="6" t="str">
        <f t="shared" si="0"/>
        <v/>
      </c>
    </row>
    <row r="41" ht="16.5" customHeight="1" spans="1:8">
      <c r="A41" s="5"/>
      <c r="B41" s="8"/>
      <c r="C41" s="8"/>
      <c r="D41" s="5"/>
      <c r="E41" s="5"/>
      <c r="F41" s="5"/>
      <c r="G41" s="5" t="str">
        <f>IF($A41="","",'15.機能×画面行列'!AM$64)</f>
        <v/>
      </c>
      <c r="H41" s="6" t="str">
        <f t="shared" si="0"/>
        <v/>
      </c>
    </row>
    <row r="42" ht="16.5" customHeight="1" spans="1:8">
      <c r="A42" s="5"/>
      <c r="B42" s="8"/>
      <c r="C42" s="8"/>
      <c r="D42" s="5"/>
      <c r="E42" s="5"/>
      <c r="F42" s="5"/>
      <c r="G42" s="5" t="str">
        <f>IF($A42="","",'15.機能×画面行列'!AN$64)</f>
        <v/>
      </c>
      <c r="H42" s="6" t="str">
        <f t="shared" si="0"/>
        <v/>
      </c>
    </row>
    <row r="43" ht="16.5" customHeight="1" spans="1:8">
      <c r="A43" s="5"/>
      <c r="B43" s="8"/>
      <c r="C43" s="8"/>
      <c r="D43" s="5"/>
      <c r="E43" s="5"/>
      <c r="F43" s="5"/>
      <c r="G43" s="5" t="str">
        <f>IF($A43="","",'15.機能×画面行列'!AO$64)</f>
        <v/>
      </c>
      <c r="H43" s="6" t="str">
        <f t="shared" si="0"/>
        <v/>
      </c>
    </row>
    <row r="44" ht="16.5" customHeight="1" spans="1:8">
      <c r="A44" s="5"/>
      <c r="B44" s="8"/>
      <c r="C44" s="8"/>
      <c r="D44" s="5"/>
      <c r="E44" s="5"/>
      <c r="F44" s="5"/>
      <c r="G44" s="5" t="str">
        <f>IF($A44="","",'15.機能×画面行列'!AP$64)</f>
        <v/>
      </c>
      <c r="H44" s="6" t="str">
        <f t="shared" si="0"/>
        <v/>
      </c>
    </row>
    <row r="45" ht="16.5" customHeight="1" spans="1:8">
      <c r="A45" s="5"/>
      <c r="B45" s="8"/>
      <c r="C45" s="8"/>
      <c r="D45" s="5"/>
      <c r="E45" s="5"/>
      <c r="F45" s="5"/>
      <c r="G45" s="5" t="str">
        <f>IF($A45="","",'15.機能×画面行列'!AQ$64)</f>
        <v/>
      </c>
      <c r="H45" s="6" t="str">
        <f t="shared" si="0"/>
        <v/>
      </c>
    </row>
    <row r="46" ht="16.5" customHeight="1" spans="1:8">
      <c r="A46" s="5"/>
      <c r="B46" s="8"/>
      <c r="C46" s="8"/>
      <c r="D46" s="5"/>
      <c r="E46" s="5"/>
      <c r="F46" s="5"/>
      <c r="G46" s="5" t="str">
        <f>IF($A46="","",'15.機能×画面行列'!AR$64)</f>
        <v/>
      </c>
      <c r="H46" s="6" t="str">
        <f t="shared" si="0"/>
        <v/>
      </c>
    </row>
    <row r="47" ht="16.5" customHeight="1" spans="1:8">
      <c r="A47" s="5"/>
      <c r="B47" s="8"/>
      <c r="C47" s="8"/>
      <c r="D47" s="5"/>
      <c r="E47" s="5"/>
      <c r="F47" s="5"/>
      <c r="G47" s="5" t="str">
        <f>IF($A47="","",'15.機能×画面行列'!AS$64)</f>
        <v/>
      </c>
      <c r="H47" s="6" t="str">
        <f t="shared" si="0"/>
        <v/>
      </c>
    </row>
    <row r="48" ht="16.5" customHeight="1" spans="1:8">
      <c r="A48" s="5"/>
      <c r="B48" s="8"/>
      <c r="C48" s="8"/>
      <c r="D48" s="5"/>
      <c r="E48" s="5"/>
      <c r="F48" s="5"/>
      <c r="G48" s="5" t="str">
        <f>IF($A48="","",'15.機能×画面行列'!AT$64)</f>
        <v/>
      </c>
      <c r="H48" s="6" t="str">
        <f t="shared" si="0"/>
        <v/>
      </c>
    </row>
    <row r="49" ht="16.5" customHeight="1" spans="1:8">
      <c r="A49" s="5"/>
      <c r="B49" s="8"/>
      <c r="C49" s="8"/>
      <c r="D49" s="5"/>
      <c r="E49" s="5"/>
      <c r="F49" s="5"/>
      <c r="G49" s="5" t="str">
        <f>IF($A49="","",'15.機能×画面行列'!AU$64)</f>
        <v/>
      </c>
      <c r="H49" s="6" t="str">
        <f t="shared" si="0"/>
        <v/>
      </c>
    </row>
    <row r="50" ht="16.5" customHeight="1" spans="1:8">
      <c r="A50" s="5"/>
      <c r="B50" s="8"/>
      <c r="C50" s="8"/>
      <c r="D50" s="5"/>
      <c r="E50" s="5"/>
      <c r="F50" s="5"/>
      <c r="G50" s="5" t="str">
        <f>IF($A50="","",'15.機能×画面行列'!AV$64)</f>
        <v/>
      </c>
      <c r="H50" s="6" t="str">
        <f t="shared" si="0"/>
        <v/>
      </c>
    </row>
    <row r="51" ht="16.5" customHeight="1" spans="1:8">
      <c r="A51" s="5"/>
      <c r="B51" s="8"/>
      <c r="C51" s="8"/>
      <c r="D51" s="5"/>
      <c r="E51" s="5"/>
      <c r="F51" s="5"/>
      <c r="G51" s="5" t="str">
        <f>IF($A51="","",'15.機能×画面行列'!AW$64)</f>
        <v/>
      </c>
      <c r="H51" s="6" t="str">
        <f t="shared" si="0"/>
        <v/>
      </c>
    </row>
    <row r="52" ht="16.5" customHeight="1" spans="1:8">
      <c r="A52" s="5"/>
      <c r="B52" s="8"/>
      <c r="C52" s="8"/>
      <c r="D52" s="5"/>
      <c r="E52" s="5"/>
      <c r="F52" s="5"/>
      <c r="G52" s="5" t="str">
        <f>IF($A52="","",'15.機能×画面行列'!AX$64)</f>
        <v/>
      </c>
      <c r="H52" s="6" t="str">
        <f t="shared" si="0"/>
        <v/>
      </c>
    </row>
    <row r="53" ht="16.5" customHeight="1" spans="1:8">
      <c r="A53" s="5"/>
      <c r="B53" s="8"/>
      <c r="C53" s="8"/>
      <c r="D53" s="5"/>
      <c r="E53" s="5"/>
      <c r="F53" s="5"/>
      <c r="G53" s="5" t="str">
        <f>IF($A53="","",'15.機能×画面行列'!AY$64)</f>
        <v/>
      </c>
      <c r="H53" s="6" t="str">
        <f t="shared" si="0"/>
        <v/>
      </c>
    </row>
    <row r="54" ht="16.5" customHeight="1" spans="1:8">
      <c r="A54" s="5"/>
      <c r="B54" s="8"/>
      <c r="C54" s="8"/>
      <c r="D54" s="5"/>
      <c r="E54" s="5"/>
      <c r="F54" s="5"/>
      <c r="G54" s="5" t="str">
        <f>IF($A54="","",'15.機能×画面行列'!AZ$64)</f>
        <v/>
      </c>
      <c r="H54" s="6" t="str">
        <f t="shared" si="0"/>
        <v/>
      </c>
    </row>
    <row r="55" ht="16.5" customHeight="1" spans="1:8">
      <c r="A55" s="5"/>
      <c r="B55" s="8"/>
      <c r="C55" s="8"/>
      <c r="D55" s="5"/>
      <c r="E55" s="5"/>
      <c r="F55" s="5"/>
      <c r="G55" s="5" t="str">
        <f>IF($A55="","",'15.機能×画面行列'!BA$64)</f>
        <v/>
      </c>
      <c r="H55" s="6" t="str">
        <f t="shared" si="0"/>
        <v/>
      </c>
    </row>
    <row r="56" ht="16.5" customHeight="1" spans="1:8">
      <c r="A56" s="5"/>
      <c r="B56" s="8"/>
      <c r="C56" s="8"/>
      <c r="D56" s="5"/>
      <c r="E56" s="5"/>
      <c r="F56" s="5"/>
      <c r="G56" s="5" t="str">
        <f>IF($A56="","",'15.機能×画面行列'!BB$64)</f>
        <v/>
      </c>
      <c r="H56" s="6" t="str">
        <f t="shared" si="0"/>
        <v/>
      </c>
    </row>
    <row r="57" ht="16.5" customHeight="1" spans="1:8">
      <c r="A57" s="5"/>
      <c r="B57" s="8"/>
      <c r="C57" s="8"/>
      <c r="D57" s="5"/>
      <c r="E57" s="5"/>
      <c r="F57" s="5"/>
      <c r="G57" s="5" t="str">
        <f>IF($A57="","",'15.機能×画面行列'!BC$64)</f>
        <v/>
      </c>
      <c r="H57" s="6" t="str">
        <f t="shared" si="0"/>
        <v/>
      </c>
    </row>
    <row r="58" ht="16.5" customHeight="1" spans="1:8">
      <c r="A58" s="5"/>
      <c r="B58" s="8"/>
      <c r="C58" s="8"/>
      <c r="D58" s="5"/>
      <c r="E58" s="5"/>
      <c r="F58" s="5"/>
      <c r="G58" s="5" t="str">
        <f>IF($A58="","",'15.機能×画面行列'!BD$64)</f>
        <v/>
      </c>
      <c r="H58" s="6" t="str">
        <f t="shared" si="0"/>
        <v/>
      </c>
    </row>
    <row r="59" ht="16.5" customHeight="1" spans="1:8">
      <c r="A59" s="5"/>
      <c r="B59" s="8"/>
      <c r="C59" s="8"/>
      <c r="D59" s="5"/>
      <c r="E59" s="5"/>
      <c r="F59" s="5"/>
      <c r="G59" s="5" t="str">
        <f>IF($A59="","",'15.機能×画面行列'!BE$64)</f>
        <v/>
      </c>
      <c r="H59" s="6" t="str">
        <f t="shared" si="0"/>
        <v/>
      </c>
    </row>
    <row r="60" ht="16.5" customHeight="1" spans="1:8">
      <c r="A60" s="5"/>
      <c r="B60" s="8"/>
      <c r="C60" s="8"/>
      <c r="D60" s="5"/>
      <c r="E60" s="5"/>
      <c r="F60" s="5"/>
      <c r="G60" s="5" t="str">
        <f>IF($A60="","",'15.機能×画面行列'!BF$64)</f>
        <v/>
      </c>
      <c r="H60" s="6" t="str">
        <f t="shared" si="0"/>
        <v/>
      </c>
    </row>
    <row r="61" ht="16.5" customHeight="1" spans="1:8">
      <c r="A61" s="5"/>
      <c r="B61" s="8"/>
      <c r="C61" s="8"/>
      <c r="D61" s="5"/>
      <c r="E61" s="5"/>
      <c r="F61" s="5"/>
      <c r="G61" s="5" t="str">
        <f>IF($A61="","",'15.機能×画面行列'!BG$64)</f>
        <v/>
      </c>
      <c r="H61" s="6" t="str">
        <f t="shared" si="0"/>
        <v/>
      </c>
    </row>
    <row r="62" ht="16.5" customHeight="1" spans="1:8">
      <c r="A62" s="5"/>
      <c r="B62" s="8"/>
      <c r="C62" s="8"/>
      <c r="D62" s="5"/>
      <c r="E62" s="5"/>
      <c r="F62" s="5"/>
      <c r="G62" s="5" t="str">
        <f>IF($A62="","",'15.機能×画面行列'!BH$64)</f>
        <v/>
      </c>
      <c r="H62" s="6" t="str">
        <f t="shared" si="0"/>
        <v/>
      </c>
    </row>
    <row r="63" ht="16.5" customHeight="1" spans="1:8">
      <c r="A63" s="5"/>
      <c r="B63" s="8"/>
      <c r="C63" s="8"/>
      <c r="D63" s="5"/>
      <c r="E63" s="5"/>
      <c r="F63" s="5"/>
      <c r="G63" s="5" t="str">
        <f>IF($A63="","",'15.機能×画面行列'!BI$64)</f>
        <v/>
      </c>
      <c r="H63" s="6" t="str">
        <f t="shared" si="0"/>
        <v/>
      </c>
    </row>
    <row r="64" ht="16.5" customHeight="1" spans="1:8">
      <c r="A64" s="5"/>
      <c r="B64" s="8"/>
      <c r="C64" s="8"/>
      <c r="D64" s="5"/>
      <c r="E64" s="5"/>
      <c r="F64" s="5"/>
      <c r="G64" s="5" t="str">
        <f>IF($A64="","",'15.機能×画面行列'!BJ$64)</f>
        <v/>
      </c>
      <c r="H64" s="6" t="str">
        <f t="shared" si="0"/>
        <v/>
      </c>
    </row>
    <row r="65" ht="16.5" customHeight="1" spans="1:8">
      <c r="A65" s="5"/>
      <c r="B65" s="8"/>
      <c r="C65" s="8"/>
      <c r="D65" s="5"/>
      <c r="E65" s="5"/>
      <c r="F65" s="5"/>
      <c r="G65" s="5" t="str">
        <f>IF($A65="","",'15.機能×画面行列'!BK$64)</f>
        <v/>
      </c>
      <c r="H65" s="6" t="str">
        <f t="shared" si="0"/>
        <v/>
      </c>
    </row>
    <row r="66" ht="16.5" customHeight="1" spans="1:8">
      <c r="A66" s="5"/>
      <c r="B66" s="8"/>
      <c r="C66" s="8"/>
      <c r="D66" s="5"/>
      <c r="E66" s="5"/>
      <c r="F66" s="5"/>
      <c r="G66" s="5" t="str">
        <f>IF($A66="","",'15.機能×画面行列'!BL$64)</f>
        <v/>
      </c>
      <c r="H66" s="6" t="str">
        <f t="shared" si="0"/>
        <v/>
      </c>
    </row>
    <row r="67" ht="16.5" customHeight="1" spans="1:8">
      <c r="A67" s="5"/>
      <c r="B67" s="8"/>
      <c r="C67" s="8"/>
      <c r="D67" s="5"/>
      <c r="E67" s="5"/>
      <c r="F67" s="5"/>
      <c r="G67" s="5" t="str">
        <f>IF($A67="","",'15.機能×画面行列'!BM$64)</f>
        <v/>
      </c>
      <c r="H67" s="6" t="str">
        <f t="shared" si="0"/>
        <v/>
      </c>
    </row>
    <row r="68" ht="16.5" customHeight="1" spans="1:8">
      <c r="A68" s="5"/>
      <c r="B68" s="8"/>
      <c r="C68" s="8"/>
      <c r="D68" s="5"/>
      <c r="E68" s="5"/>
      <c r="F68" s="5"/>
      <c r="G68" s="5" t="str">
        <f>IF($A68="","",'15.機能×画面行列'!BN$64)</f>
        <v/>
      </c>
      <c r="H68" s="6" t="str">
        <f t="shared" ref="H68:H83" si="1">IF($A68="","",IF($G68="","",IF($G68=0,"⚠ 未割当","OK")))</f>
        <v/>
      </c>
    </row>
    <row r="69" ht="16.5" customHeight="1" spans="1:8">
      <c r="A69" s="5"/>
      <c r="B69" s="8"/>
      <c r="C69" s="8"/>
      <c r="D69" s="5"/>
      <c r="E69" s="5"/>
      <c r="F69" s="5"/>
      <c r="G69" s="5" t="str">
        <f>IF($A69="","",'15.機能×画面行列'!BO$64)</f>
        <v/>
      </c>
      <c r="H69" s="6" t="str">
        <f t="shared" si="1"/>
        <v/>
      </c>
    </row>
    <row r="70" ht="16.5" customHeight="1" spans="1:8">
      <c r="A70" s="5"/>
      <c r="B70" s="8"/>
      <c r="C70" s="8"/>
      <c r="D70" s="5"/>
      <c r="E70" s="5"/>
      <c r="F70" s="5"/>
      <c r="G70" s="5" t="str">
        <f>IF($A70="","",'15.機能×画面行列'!BP$64)</f>
        <v/>
      </c>
      <c r="H70" s="6" t="str">
        <f t="shared" si="1"/>
        <v/>
      </c>
    </row>
    <row r="71" ht="16.5" customHeight="1" spans="1:8">
      <c r="A71" s="5"/>
      <c r="B71" s="8"/>
      <c r="C71" s="8"/>
      <c r="D71" s="5"/>
      <c r="E71" s="5"/>
      <c r="F71" s="5"/>
      <c r="G71" s="5" t="str">
        <f>IF($A71="","",'15.機能×画面行列'!BQ$64)</f>
        <v/>
      </c>
      <c r="H71" s="6" t="str">
        <f t="shared" si="1"/>
        <v/>
      </c>
    </row>
    <row r="72" ht="16.5" customHeight="1" spans="1:8">
      <c r="A72" s="5"/>
      <c r="B72" s="8"/>
      <c r="C72" s="8"/>
      <c r="D72" s="5"/>
      <c r="E72" s="5"/>
      <c r="F72" s="5"/>
      <c r="G72" s="5" t="str">
        <f>IF($A72="","",'15.機能×画面行列'!BR$64)</f>
        <v/>
      </c>
      <c r="H72" s="6" t="str">
        <f t="shared" si="1"/>
        <v/>
      </c>
    </row>
    <row r="73" ht="16.5" customHeight="1" spans="1:8">
      <c r="A73" s="5"/>
      <c r="B73" s="8"/>
      <c r="C73" s="8"/>
      <c r="D73" s="5"/>
      <c r="E73" s="5"/>
      <c r="F73" s="5"/>
      <c r="G73" s="5" t="str">
        <f>IF($A73="","",'15.機能×画面行列'!BS$64)</f>
        <v/>
      </c>
      <c r="H73" s="6" t="str">
        <f t="shared" si="1"/>
        <v/>
      </c>
    </row>
    <row r="74" ht="16.5" customHeight="1" spans="1:8">
      <c r="A74" s="5"/>
      <c r="B74" s="8"/>
      <c r="C74" s="8"/>
      <c r="D74" s="5"/>
      <c r="E74" s="5"/>
      <c r="F74" s="5"/>
      <c r="G74" s="5" t="str">
        <f>IF($A74="","",'15.機能×画面行列'!BT$64)</f>
        <v/>
      </c>
      <c r="H74" s="6" t="str">
        <f t="shared" si="1"/>
        <v/>
      </c>
    </row>
    <row r="75" ht="16.5" customHeight="1" spans="1:8">
      <c r="A75" s="5"/>
      <c r="B75" s="8"/>
      <c r="C75" s="8"/>
      <c r="D75" s="5"/>
      <c r="E75" s="5"/>
      <c r="F75" s="5"/>
      <c r="G75" s="5" t="str">
        <f>IF($A75="","",'15.機能×画面行列'!BU$64)</f>
        <v/>
      </c>
      <c r="H75" s="6" t="str">
        <f t="shared" si="1"/>
        <v/>
      </c>
    </row>
    <row r="76" ht="16.5" customHeight="1" spans="1:8">
      <c r="A76" s="5"/>
      <c r="B76" s="8"/>
      <c r="C76" s="8"/>
      <c r="D76" s="5"/>
      <c r="E76" s="5"/>
      <c r="F76" s="5"/>
      <c r="G76" s="5" t="str">
        <f>IF($A76="","",'15.機能×画面行列'!BV$64)</f>
        <v/>
      </c>
      <c r="H76" s="6" t="str">
        <f t="shared" si="1"/>
        <v/>
      </c>
    </row>
    <row r="77" ht="16.5" customHeight="1" spans="1:8">
      <c r="A77" s="5"/>
      <c r="B77" s="8"/>
      <c r="C77" s="8"/>
      <c r="D77" s="5"/>
      <c r="E77" s="5"/>
      <c r="F77" s="5"/>
      <c r="G77" s="5" t="str">
        <f>IF($A77="","",'15.機能×画面行列'!BW$64)</f>
        <v/>
      </c>
      <c r="H77" s="6" t="str">
        <f t="shared" si="1"/>
        <v/>
      </c>
    </row>
    <row r="78" ht="16.5" customHeight="1" spans="1:8">
      <c r="A78" s="5"/>
      <c r="B78" s="8"/>
      <c r="C78" s="8"/>
      <c r="D78" s="5"/>
      <c r="E78" s="5"/>
      <c r="F78" s="5"/>
      <c r="G78" s="5" t="str">
        <f>IF($A78="","",'15.機能×画面行列'!BX$64)</f>
        <v/>
      </c>
      <c r="H78" s="6" t="str">
        <f t="shared" si="1"/>
        <v/>
      </c>
    </row>
    <row r="79" ht="16.5" customHeight="1" spans="1:8">
      <c r="A79" s="5"/>
      <c r="B79" s="8"/>
      <c r="C79" s="8"/>
      <c r="D79" s="5"/>
      <c r="E79" s="5"/>
      <c r="F79" s="5"/>
      <c r="G79" s="5" t="str">
        <f>IF($A79="","",'15.機能×画面行列'!BY$64)</f>
        <v/>
      </c>
      <c r="H79" s="6" t="str">
        <f t="shared" si="1"/>
        <v/>
      </c>
    </row>
    <row r="80" ht="16.5" customHeight="1" spans="1:8">
      <c r="A80" s="5"/>
      <c r="B80" s="8"/>
      <c r="C80" s="8"/>
      <c r="D80" s="5"/>
      <c r="E80" s="5"/>
      <c r="F80" s="5"/>
      <c r="G80" s="5" t="str">
        <f>IF($A80="","",'15.機能×画面行列'!BZ$64)</f>
        <v/>
      </c>
      <c r="H80" s="6" t="str">
        <f t="shared" si="1"/>
        <v/>
      </c>
    </row>
    <row r="81" ht="16.5" customHeight="1" spans="1:8">
      <c r="A81" s="5"/>
      <c r="B81" s="8"/>
      <c r="C81" s="8"/>
      <c r="D81" s="5"/>
      <c r="E81" s="5"/>
      <c r="F81" s="5"/>
      <c r="G81" s="5" t="str">
        <f>IF($A81="","",'15.機能×画面行列'!CA$64)</f>
        <v/>
      </c>
      <c r="H81" s="6" t="str">
        <f t="shared" si="1"/>
        <v/>
      </c>
    </row>
    <row r="82" ht="16.5" customHeight="1" spans="1:8">
      <c r="A82" s="5"/>
      <c r="B82" s="8"/>
      <c r="C82" s="8"/>
      <c r="D82" s="5"/>
      <c r="E82" s="5"/>
      <c r="F82" s="5"/>
      <c r="G82" s="5" t="str">
        <f>IF($A82="","",'15.機能×画面行列'!CB$64)</f>
        <v/>
      </c>
      <c r="H82" s="6" t="str">
        <f t="shared" si="1"/>
        <v/>
      </c>
    </row>
    <row r="83" ht="16.5" customHeight="1" spans="1:8">
      <c r="A83" s="5"/>
      <c r="B83" s="8"/>
      <c r="C83" s="8"/>
      <c r="D83" s="5"/>
      <c r="E83" s="5"/>
      <c r="F83" s="5"/>
      <c r="G83" s="5" t="str">
        <f>IF($A83="","",'15.機能×画面行列'!CC$64)</f>
        <v/>
      </c>
      <c r="H83" s="6" t="str">
        <f t="shared" si="1"/>
        <v/>
      </c>
    </row>
  </sheetData>
  <autoFilter xmlns:etc="http://www.wps.cn/officeDocument/2017/etCustomData" ref="A3:H83" etc:filterBottomFollowUsedRange="0">
    <extLst/>
  </autoFilter>
  <mergeCells count="2">
    <mergeCell ref="A1:H1"/>
    <mergeCell ref="A2:H2"/>
  </mergeCells>
  <conditionalFormatting sqref="H4:H83">
    <cfRule type="expression" dxfId="0" priority="2">
      <formula>$H4="OK"</formula>
    </cfRule>
  </conditionalFormatting>
  <conditionalFormatting sqref="A4:H83">
    <cfRule type="expression" dxfId="1" priority="1">
      <formula>$H4="⚠ 未割当"</formula>
    </cfRule>
  </conditionalFormatting>
  <dataValidations count="2">
    <dataValidation type="list" allowBlank="1" sqref="D4:D83">
      <formula1>"一覧,詳細,登録,更新,削除,照会,ポップアップ,ダッシュボード,共通フレーム,ログイン,提示"</formula1>
    </dataValidation>
    <dataValidation type="list" allowBlank="1" sqref="F4:F83">
      <formula1>"新規,改修"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G19"/>
  <sheetViews>
    <sheetView workbookViewId="0">
      <pane ySplit="3" topLeftCell="A4" activePane="bottomLeft" state="frozen"/>
      <selection/>
      <selection pane="bottomLeft" activeCell="D27" sqref="D27"/>
    </sheetView>
  </sheetViews>
  <sheetFormatPr defaultColWidth="9" defaultRowHeight="13.5" outlineLevelCol="6"/>
  <cols>
    <col min="1" max="1" width="10" customWidth="1"/>
    <col min="2" max="2" width="47.375" customWidth="1"/>
    <col min="3" max="3" width="35.875" customWidth="1"/>
    <col min="4" max="4" width="52" customWidth="1"/>
    <col min="5" max="5" width="14" customWidth="1"/>
    <col min="6" max="6" width="10" customWidth="1"/>
    <col min="7" max="7" width="30" customWidth="1"/>
  </cols>
  <sheetData>
    <row r="1" ht="14.25" customHeight="1" spans="1:7">
      <c r="A1" s="19" t="s">
        <v>560</v>
      </c>
    </row>
    <row r="2" spans="1:7">
      <c r="A2" s="20" t="s">
        <v>561</v>
      </c>
    </row>
    <row r="3" spans="1:7">
      <c r="A3" s="21" t="s">
        <v>562</v>
      </c>
      <c r="B3" s="21" t="s">
        <v>563</v>
      </c>
      <c r="C3" s="21" t="s">
        <v>402</v>
      </c>
      <c r="D3" s="21" t="s">
        <v>564</v>
      </c>
      <c r="E3" s="21" t="s">
        <v>565</v>
      </c>
      <c r="F3" s="21" t="s">
        <v>566</v>
      </c>
      <c r="G3" s="21" t="s">
        <v>153</v>
      </c>
    </row>
    <row r="4" spans="1:7">
      <c r="A4" t="s">
        <v>161</v>
      </c>
      <c r="B4" t="s">
        <v>414</v>
      </c>
      <c r="C4" t="s">
        <v>567</v>
      </c>
      <c r="D4" t="s">
        <v>154</v>
      </c>
      <c r="E4">
        <f>IF($A4="","",COUNTIF('2.要件一覧'!$J$4:$J$63,"*"&amp;$A4&amp;"*"))</f>
        <v>1</v>
      </c>
      <c r="F4" t="s">
        <v>568</v>
      </c>
      <c r="G4" t="s">
        <v>412</v>
      </c>
    </row>
    <row r="5" spans="1:7">
      <c r="A5" t="s">
        <v>167</v>
      </c>
      <c r="B5" t="s">
        <v>569</v>
      </c>
      <c r="C5" t="s">
        <v>410</v>
      </c>
      <c r="D5" t="s">
        <v>570</v>
      </c>
      <c r="E5">
        <f>IF($A5="","",COUNTIF('2.要件一覧'!$J$4:$J$63,"*"&amp;$A5&amp;"*"))</f>
        <v>3</v>
      </c>
      <c r="F5" t="s">
        <v>568</v>
      </c>
      <c r="G5" t="s">
        <v>412</v>
      </c>
    </row>
    <row r="6" spans="1:7">
      <c r="A6" t="s">
        <v>176</v>
      </c>
      <c r="B6" t="s">
        <v>428</v>
      </c>
      <c r="C6" t="s">
        <v>416</v>
      </c>
      <c r="D6" t="s">
        <v>571</v>
      </c>
      <c r="E6">
        <f>IF($A6="","",COUNTIF('2.要件一覧'!$J$4:$J$63,"*"&amp;$A6&amp;"*"))</f>
        <v>3</v>
      </c>
      <c r="F6" t="s">
        <v>568</v>
      </c>
      <c r="G6" t="s">
        <v>412</v>
      </c>
    </row>
    <row r="7" spans="1:7">
      <c r="A7" t="s">
        <v>194</v>
      </c>
      <c r="B7" t="s">
        <v>434</v>
      </c>
      <c r="C7" t="s">
        <v>416</v>
      </c>
      <c r="D7" t="s">
        <v>190</v>
      </c>
      <c r="E7">
        <f>IF($A7="","",COUNTIF('2.要件一覧'!$J$4:$J$63,"*"&amp;$A7&amp;"*"))</f>
        <v>1</v>
      </c>
      <c r="F7" t="s">
        <v>568</v>
      </c>
      <c r="G7" t="s">
        <v>412</v>
      </c>
    </row>
    <row r="8" spans="1:7">
      <c r="A8" t="s">
        <v>189</v>
      </c>
      <c r="B8" t="s">
        <v>572</v>
      </c>
      <c r="C8" t="s">
        <v>416</v>
      </c>
      <c r="D8" t="s">
        <v>185</v>
      </c>
      <c r="E8">
        <f>IF($A8="","",COUNTIF('2.要件一覧'!$J$4:$J$63,"*"&amp;$A8&amp;"*"))</f>
        <v>1</v>
      </c>
      <c r="F8" t="s">
        <v>568</v>
      </c>
      <c r="G8" t="s">
        <v>412</v>
      </c>
    </row>
    <row r="9" spans="1:7">
      <c r="A9" t="s">
        <v>200</v>
      </c>
      <c r="B9" t="s">
        <v>573</v>
      </c>
      <c r="C9" t="s">
        <v>416</v>
      </c>
      <c r="D9" t="s">
        <v>195</v>
      </c>
      <c r="E9">
        <f>IF($A9="","",COUNTIF('2.要件一覧'!$J$4:$J$63,"*"&amp;$A9&amp;"*"))</f>
        <v>1</v>
      </c>
      <c r="F9" t="s">
        <v>568</v>
      </c>
      <c r="G9" t="s">
        <v>412</v>
      </c>
    </row>
    <row r="10" spans="1:7">
      <c r="A10" t="s">
        <v>205</v>
      </c>
      <c r="B10" t="s">
        <v>574</v>
      </c>
      <c r="C10" t="s">
        <v>442</v>
      </c>
      <c r="D10" t="s">
        <v>575</v>
      </c>
      <c r="E10">
        <f>IF($A10="","",COUNTIF('2.要件一覧'!$J$4:$J$63,"*"&amp;$A10&amp;"*"))</f>
        <v>2</v>
      </c>
      <c r="F10" t="s">
        <v>576</v>
      </c>
      <c r="G10" t="s">
        <v>412</v>
      </c>
    </row>
    <row r="11" spans="1:7">
      <c r="A11" t="s">
        <v>210</v>
      </c>
      <c r="B11" t="s">
        <v>577</v>
      </c>
      <c r="C11" t="s">
        <v>442</v>
      </c>
      <c r="D11" t="s">
        <v>578</v>
      </c>
      <c r="E11">
        <f>IF($A11="","",COUNTIF('2.要件一覧'!$J$4:$J$63,"*"&amp;$A11&amp;"*"))</f>
        <v>3</v>
      </c>
      <c r="F11" t="s">
        <v>576</v>
      </c>
      <c r="G11" t="s">
        <v>412</v>
      </c>
    </row>
    <row r="12" spans="1:7">
      <c r="A12" t="s">
        <v>219</v>
      </c>
      <c r="B12" t="s">
        <v>579</v>
      </c>
      <c r="C12" t="s">
        <v>442</v>
      </c>
      <c r="D12" t="s">
        <v>580</v>
      </c>
      <c r="E12">
        <f>IF($A12="","",COUNTIF('2.要件一覧'!$J$4:$J$63,"*"&amp;$A12&amp;"*"))</f>
        <v>5</v>
      </c>
      <c r="F12" t="s">
        <v>576</v>
      </c>
      <c r="G12" t="s">
        <v>412</v>
      </c>
    </row>
    <row r="13" spans="1:7">
      <c r="A13" t="s">
        <v>242</v>
      </c>
      <c r="B13" t="s">
        <v>581</v>
      </c>
      <c r="C13" t="s">
        <v>442</v>
      </c>
      <c r="D13" t="s">
        <v>582</v>
      </c>
      <c r="E13">
        <f>IF($A13="","",COUNTIF('2.要件一覧'!$J$4:$J$63,"*"&amp;$A13&amp;"*"))</f>
        <v>3</v>
      </c>
      <c r="F13" t="s">
        <v>583</v>
      </c>
      <c r="G13" t="s">
        <v>241</v>
      </c>
    </row>
    <row r="14" spans="1:7">
      <c r="A14" t="s">
        <v>235</v>
      </c>
      <c r="B14" t="s">
        <v>584</v>
      </c>
      <c r="C14" t="s">
        <v>474</v>
      </c>
      <c r="D14" t="s">
        <v>585</v>
      </c>
      <c r="E14">
        <f>IF($A14="","",COUNTIF('2.要件一覧'!$J$4:$J$63,"*"&amp;$A14&amp;"*"))</f>
        <v>2</v>
      </c>
      <c r="F14" t="s">
        <v>583</v>
      </c>
      <c r="G14" t="s">
        <v>586</v>
      </c>
    </row>
    <row r="15" spans="1:7">
      <c r="A15" t="s">
        <v>249</v>
      </c>
      <c r="B15" t="s">
        <v>587</v>
      </c>
      <c r="C15" t="s">
        <v>464</v>
      </c>
      <c r="D15" t="s">
        <v>588</v>
      </c>
      <c r="E15">
        <f>IF($A15="","",COUNTIF('2.要件一覧'!$J$4:$J$63,"*"&amp;$A15&amp;"*"))</f>
        <v>9</v>
      </c>
      <c r="F15" t="s">
        <v>589</v>
      </c>
      <c r="G15" t="s">
        <v>248</v>
      </c>
    </row>
    <row r="16" spans="1:7">
      <c r="A16" t="s">
        <v>261</v>
      </c>
      <c r="B16" t="s">
        <v>590</v>
      </c>
      <c r="C16" t="s">
        <v>474</v>
      </c>
      <c r="D16" t="s">
        <v>591</v>
      </c>
      <c r="E16">
        <f>IF($A16="","",COUNTIF('2.要件一覧'!$J$4:$J$63,"*"&amp;$A16&amp;"*"))</f>
        <v>2</v>
      </c>
      <c r="F16" t="s">
        <v>583</v>
      </c>
      <c r="G16" t="s">
        <v>241</v>
      </c>
    </row>
    <row r="17" spans="1:7">
      <c r="A17" t="s">
        <v>267</v>
      </c>
      <c r="B17" t="s">
        <v>592</v>
      </c>
      <c r="C17" t="s">
        <v>593</v>
      </c>
      <c r="D17" t="s">
        <v>594</v>
      </c>
      <c r="E17">
        <f>IF($A17="","",COUNTIF('2.要件一覧'!$J$4:$J$63,"*"&amp;$A17&amp;"*"))</f>
        <v>11</v>
      </c>
      <c r="F17" t="s">
        <v>595</v>
      </c>
      <c r="G17" t="s">
        <v>266</v>
      </c>
    </row>
    <row r="18" spans="1:7">
      <c r="A18" t="s">
        <v>296</v>
      </c>
      <c r="B18" t="s">
        <v>596</v>
      </c>
      <c r="C18" t="s">
        <v>597</v>
      </c>
      <c r="D18" t="s">
        <v>598</v>
      </c>
      <c r="E18">
        <f>IF($A18="","",COUNTIF('2.要件一覧'!$J$4:$J$63,"*"&amp;$A18&amp;"*"))</f>
        <v>4</v>
      </c>
      <c r="F18" t="s">
        <v>595</v>
      </c>
      <c r="G18" t="s">
        <v>599</v>
      </c>
    </row>
    <row r="19" spans="1:7">
      <c r="A19" t="s">
        <v>320</v>
      </c>
      <c r="B19" t="s">
        <v>600</v>
      </c>
      <c r="C19" t="s">
        <v>601</v>
      </c>
      <c r="D19" t="s">
        <v>602</v>
      </c>
      <c r="E19">
        <f>IF($A19="","",COUNTIF('2.要件一覧'!$J$4:$J$63,"*"&amp;$A19&amp;"*"))</f>
        <v>2</v>
      </c>
      <c r="F19" t="s">
        <v>603</v>
      </c>
      <c r="G19" t="s">
        <v>604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F21"/>
  <sheetViews>
    <sheetView workbookViewId="0">
      <pane ySplit="3" topLeftCell="A4" activePane="bottomLeft" state="frozen"/>
      <selection/>
      <selection pane="bottomLeft" activeCell="E32" sqref="E32"/>
    </sheetView>
  </sheetViews>
  <sheetFormatPr defaultColWidth="9" defaultRowHeight="13.5" outlineLevelCol="5"/>
  <cols>
    <col min="1" max="1" width="10" customWidth="1"/>
    <col min="2" max="2" width="16" customWidth="1"/>
    <col min="3" max="3" width="130.25" customWidth="1"/>
    <col min="4" max="4" width="30" customWidth="1"/>
    <col min="5" max="5" width="87.5" customWidth="1"/>
    <col min="6" max="6" width="44" customWidth="1"/>
  </cols>
  <sheetData>
    <row r="1" ht="14.25" customHeight="1" spans="1:6">
      <c r="A1" s="19" t="s">
        <v>605</v>
      </c>
    </row>
    <row r="2" spans="1:6">
      <c r="A2" s="20" t="s">
        <v>606</v>
      </c>
    </row>
    <row r="3" spans="1:6">
      <c r="A3" s="21" t="s">
        <v>607</v>
      </c>
      <c r="B3" s="21" t="s">
        <v>608</v>
      </c>
      <c r="C3" s="21" t="s">
        <v>609</v>
      </c>
      <c r="D3" s="21" t="s">
        <v>610</v>
      </c>
      <c r="E3" s="21" t="s">
        <v>611</v>
      </c>
      <c r="F3" s="21" t="s">
        <v>153</v>
      </c>
    </row>
    <row r="4" ht="19" customHeight="1" spans="1:6">
      <c r="A4" t="s">
        <v>612</v>
      </c>
      <c r="B4" t="s">
        <v>249</v>
      </c>
      <c r="C4" t="s">
        <v>613</v>
      </c>
      <c r="D4" t="s">
        <v>614</v>
      </c>
      <c r="E4" t="s">
        <v>615</v>
      </c>
      <c r="F4" t="s">
        <v>248</v>
      </c>
    </row>
    <row r="5" ht="19" customHeight="1" spans="1:6">
      <c r="A5" t="s">
        <v>616</v>
      </c>
      <c r="B5" t="s">
        <v>267</v>
      </c>
      <c r="C5" t="s">
        <v>617</v>
      </c>
      <c r="D5" t="s">
        <v>618</v>
      </c>
      <c r="E5" t="s">
        <v>619</v>
      </c>
      <c r="F5" t="s">
        <v>248</v>
      </c>
    </row>
    <row r="6" ht="19" customHeight="1" spans="1:6">
      <c r="A6" t="s">
        <v>620</v>
      </c>
      <c r="B6" t="s">
        <v>267</v>
      </c>
      <c r="C6" t="s">
        <v>621</v>
      </c>
      <c r="D6" t="s">
        <v>622</v>
      </c>
      <c r="E6" t="s">
        <v>623</v>
      </c>
      <c r="F6" t="s">
        <v>248</v>
      </c>
    </row>
    <row r="7" ht="19" customHeight="1" spans="1:6">
      <c r="A7" t="s">
        <v>624</v>
      </c>
      <c r="B7" t="s">
        <v>249</v>
      </c>
      <c r="C7" t="s">
        <v>625</v>
      </c>
      <c r="D7" t="s">
        <v>614</v>
      </c>
      <c r="E7" t="s">
        <v>615</v>
      </c>
      <c r="F7" t="s">
        <v>248</v>
      </c>
    </row>
    <row r="8" ht="19" customHeight="1" spans="1:6">
      <c r="A8" t="s">
        <v>626</v>
      </c>
      <c r="B8" t="s">
        <v>627</v>
      </c>
      <c r="C8" t="s">
        <v>628</v>
      </c>
      <c r="D8" t="s">
        <v>629</v>
      </c>
      <c r="E8" t="s">
        <v>630</v>
      </c>
      <c r="F8" t="s">
        <v>631</v>
      </c>
    </row>
    <row r="9" ht="19" customHeight="1" spans="1:6">
      <c r="A9" t="s">
        <v>632</v>
      </c>
      <c r="B9" t="s">
        <v>176</v>
      </c>
      <c r="C9" t="s">
        <v>633</v>
      </c>
      <c r="D9" t="s">
        <v>634</v>
      </c>
      <c r="E9" t="s">
        <v>635</v>
      </c>
      <c r="F9" t="s">
        <v>631</v>
      </c>
    </row>
    <row r="10" ht="19" customHeight="1" spans="1:6">
      <c r="A10" t="s">
        <v>636</v>
      </c>
      <c r="B10" t="s">
        <v>627</v>
      </c>
      <c r="C10" t="s">
        <v>637</v>
      </c>
      <c r="D10" t="s">
        <v>638</v>
      </c>
      <c r="E10" t="s">
        <v>619</v>
      </c>
      <c r="F10" t="s">
        <v>631</v>
      </c>
    </row>
    <row r="11" ht="19" customHeight="1" spans="1:6">
      <c r="A11" t="s">
        <v>639</v>
      </c>
      <c r="B11" t="s">
        <v>249</v>
      </c>
      <c r="C11" t="s">
        <v>640</v>
      </c>
      <c r="D11" t="s">
        <v>641</v>
      </c>
      <c r="E11" t="s">
        <v>642</v>
      </c>
      <c r="F11" t="s">
        <v>248</v>
      </c>
    </row>
    <row r="12" ht="19" customHeight="1" spans="1:6">
      <c r="A12" t="s">
        <v>643</v>
      </c>
      <c r="B12" t="s">
        <v>291</v>
      </c>
      <c r="C12" t="s">
        <v>644</v>
      </c>
      <c r="D12" t="s">
        <v>645</v>
      </c>
      <c r="E12" t="s">
        <v>646</v>
      </c>
      <c r="F12" t="s">
        <v>248</v>
      </c>
    </row>
    <row r="13" ht="19" customHeight="1" spans="1:6">
      <c r="A13" t="s">
        <v>647</v>
      </c>
      <c r="B13" t="s">
        <v>296</v>
      </c>
      <c r="C13" t="s">
        <v>648</v>
      </c>
      <c r="D13" t="s">
        <v>649</v>
      </c>
      <c r="E13" t="s">
        <v>646</v>
      </c>
      <c r="F13" t="s">
        <v>248</v>
      </c>
    </row>
    <row r="14" ht="19" customHeight="1" spans="1:6">
      <c r="A14" t="s">
        <v>650</v>
      </c>
      <c r="B14" t="s">
        <v>249</v>
      </c>
      <c r="C14" t="s">
        <v>651</v>
      </c>
      <c r="D14" t="s">
        <v>652</v>
      </c>
      <c r="E14" t="s">
        <v>653</v>
      </c>
      <c r="F14" t="s">
        <v>256</v>
      </c>
    </row>
    <row r="15" ht="19" customHeight="1" spans="1:6">
      <c r="A15" t="s">
        <v>654</v>
      </c>
      <c r="B15" t="s">
        <v>287</v>
      </c>
      <c r="C15" t="s">
        <v>655</v>
      </c>
      <c r="D15" t="s">
        <v>656</v>
      </c>
      <c r="E15" t="s">
        <v>657</v>
      </c>
      <c r="F15" t="s">
        <v>248</v>
      </c>
    </row>
    <row r="16" ht="19" customHeight="1" spans="1:6">
      <c r="A16" t="s">
        <v>658</v>
      </c>
      <c r="B16" t="s">
        <v>306</v>
      </c>
      <c r="C16" t="s">
        <v>659</v>
      </c>
      <c r="D16" t="s">
        <v>660</v>
      </c>
      <c r="E16" t="s">
        <v>661</v>
      </c>
      <c r="F16" t="s">
        <v>305</v>
      </c>
    </row>
    <row r="17" ht="19" customHeight="1" spans="1:6">
      <c r="A17" t="s">
        <v>662</v>
      </c>
      <c r="B17" t="s">
        <v>267</v>
      </c>
      <c r="C17" t="s">
        <v>663</v>
      </c>
      <c r="D17" t="s">
        <v>645</v>
      </c>
      <c r="E17" t="s">
        <v>664</v>
      </c>
      <c r="F17" t="s">
        <v>248</v>
      </c>
    </row>
    <row r="18" ht="19" customHeight="1" spans="1:6">
      <c r="A18" t="s">
        <v>665</v>
      </c>
      <c r="B18" t="s">
        <v>320</v>
      </c>
      <c r="C18" t="s">
        <v>666</v>
      </c>
      <c r="D18" t="s">
        <v>667</v>
      </c>
      <c r="E18" t="s">
        <v>668</v>
      </c>
      <c r="F18" t="s">
        <v>669</v>
      </c>
    </row>
    <row r="19" ht="19" customHeight="1" spans="1:6">
      <c r="A19" t="s">
        <v>670</v>
      </c>
      <c r="B19" t="s">
        <v>242</v>
      </c>
      <c r="C19" t="s">
        <v>671</v>
      </c>
      <c r="D19" t="s">
        <v>672</v>
      </c>
      <c r="E19" t="s">
        <v>673</v>
      </c>
      <c r="F19" t="s">
        <v>248</v>
      </c>
    </row>
    <row r="20" ht="19" customHeight="1" spans="1:6">
      <c r="A20" t="s">
        <v>674</v>
      </c>
      <c r="B20" t="s">
        <v>219</v>
      </c>
      <c r="C20" t="s">
        <v>675</v>
      </c>
      <c r="D20" t="s">
        <v>676</v>
      </c>
      <c r="E20" t="s">
        <v>677</v>
      </c>
      <c r="F20" t="s">
        <v>678</v>
      </c>
    </row>
    <row r="21" ht="19" customHeight="1" spans="1:6">
      <c r="A21" t="s">
        <v>679</v>
      </c>
      <c r="B21" t="s">
        <v>235</v>
      </c>
      <c r="C21" t="s">
        <v>680</v>
      </c>
      <c r="D21" t="s">
        <v>681</v>
      </c>
      <c r="E21" t="s">
        <v>682</v>
      </c>
      <c r="F21" t="s">
        <v>586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E38"/>
  <sheetViews>
    <sheetView workbookViewId="0">
      <pane ySplit="3" topLeftCell="A4" activePane="bottomLeft" state="frozen"/>
      <selection/>
      <selection pane="bottomLeft" activeCell="C30" sqref="C30"/>
    </sheetView>
  </sheetViews>
  <sheetFormatPr defaultColWidth="9" defaultRowHeight="13.5" outlineLevelCol="4"/>
  <cols>
    <col min="1" max="1" width="10" customWidth="1"/>
    <col min="2" max="2" width="52.25" customWidth="1"/>
    <col min="3" max="3" width="119" customWidth="1"/>
    <col min="4" max="4" width="18" customWidth="1"/>
    <col min="5" max="5" width="30" customWidth="1"/>
  </cols>
  <sheetData>
    <row r="1" ht="14.25" customHeight="1" spans="1:5">
      <c r="A1" s="19" t="s">
        <v>683</v>
      </c>
    </row>
    <row r="2" spans="1:5">
      <c r="A2" s="20" t="s">
        <v>684</v>
      </c>
    </row>
    <row r="3" spans="1:5">
      <c r="A3" s="21" t="s">
        <v>685</v>
      </c>
      <c r="B3" s="21" t="s">
        <v>686</v>
      </c>
      <c r="C3" s="21" t="s">
        <v>687</v>
      </c>
      <c r="D3" s="21" t="s">
        <v>6</v>
      </c>
      <c r="E3" s="21" t="s">
        <v>153</v>
      </c>
    </row>
    <row r="4" spans="1:5">
      <c r="A4" t="s">
        <v>688</v>
      </c>
      <c r="B4" t="s">
        <v>689</v>
      </c>
      <c r="C4" t="s">
        <v>690</v>
      </c>
      <c r="E4" t="s">
        <v>691</v>
      </c>
    </row>
    <row r="5" spans="1:5">
      <c r="A5" t="s">
        <v>692</v>
      </c>
      <c r="B5" t="s">
        <v>693</v>
      </c>
      <c r="C5" t="s">
        <v>694</v>
      </c>
      <c r="E5" t="s">
        <v>691</v>
      </c>
    </row>
    <row r="6" spans="1:5">
      <c r="A6" t="s">
        <v>695</v>
      </c>
      <c r="B6" t="s">
        <v>696</v>
      </c>
      <c r="C6" t="s">
        <v>697</v>
      </c>
      <c r="E6" t="s">
        <v>691</v>
      </c>
    </row>
    <row r="7" spans="1:5">
      <c r="A7" t="s">
        <v>698</v>
      </c>
      <c r="B7" t="s">
        <v>699</v>
      </c>
      <c r="C7" t="s">
        <v>700</v>
      </c>
      <c r="E7" t="s">
        <v>691</v>
      </c>
    </row>
    <row r="8" spans="1:5">
      <c r="A8" t="s">
        <v>701</v>
      </c>
      <c r="B8" t="s">
        <v>702</v>
      </c>
      <c r="C8" t="s">
        <v>703</v>
      </c>
      <c r="E8" t="s">
        <v>691</v>
      </c>
    </row>
    <row r="9" spans="1:5">
      <c r="A9" t="s">
        <v>704</v>
      </c>
      <c r="B9" t="s">
        <v>705</v>
      </c>
      <c r="C9" t="s">
        <v>706</v>
      </c>
      <c r="E9" t="s">
        <v>691</v>
      </c>
    </row>
    <row r="10" spans="1:5">
      <c r="A10" t="s">
        <v>707</v>
      </c>
      <c r="B10" t="s">
        <v>708</v>
      </c>
      <c r="C10" t="s">
        <v>709</v>
      </c>
      <c r="E10" t="s">
        <v>691</v>
      </c>
    </row>
    <row r="11" spans="1:5">
      <c r="A11" t="s">
        <v>710</v>
      </c>
      <c r="B11" t="s">
        <v>711</v>
      </c>
      <c r="C11" t="s">
        <v>712</v>
      </c>
      <c r="E11" t="s">
        <v>691</v>
      </c>
    </row>
    <row r="12" spans="1:5">
      <c r="A12" t="s">
        <v>713</v>
      </c>
      <c r="B12" t="s">
        <v>714</v>
      </c>
      <c r="C12" t="s">
        <v>715</v>
      </c>
      <c r="D12" t="s">
        <v>716</v>
      </c>
      <c r="E12" t="s">
        <v>717</v>
      </c>
    </row>
    <row r="13" spans="1:5">
      <c r="A13" t="s">
        <v>718</v>
      </c>
      <c r="B13" t="s">
        <v>719</v>
      </c>
      <c r="C13" t="s">
        <v>720</v>
      </c>
      <c r="D13" t="s">
        <v>716</v>
      </c>
      <c r="E13" t="s">
        <v>717</v>
      </c>
    </row>
    <row r="14" spans="1:5">
      <c r="A14" t="s">
        <v>721</v>
      </c>
      <c r="B14" t="s">
        <v>722</v>
      </c>
      <c r="C14" t="s">
        <v>723</v>
      </c>
      <c r="D14" t="s">
        <v>716</v>
      </c>
      <c r="E14" t="s">
        <v>717</v>
      </c>
    </row>
    <row r="15" spans="1:5">
      <c r="A15" t="s">
        <v>724</v>
      </c>
      <c r="B15" t="s">
        <v>725</v>
      </c>
      <c r="C15" t="s">
        <v>726</v>
      </c>
      <c r="D15" t="s">
        <v>716</v>
      </c>
      <c r="E15" t="s">
        <v>717</v>
      </c>
    </row>
    <row r="16" spans="1:5">
      <c r="A16" t="s">
        <v>727</v>
      </c>
      <c r="B16" t="s">
        <v>728</v>
      </c>
      <c r="C16" t="s">
        <v>729</v>
      </c>
      <c r="E16" t="s">
        <v>730</v>
      </c>
    </row>
    <row r="17" spans="1:5">
      <c r="A17" t="s">
        <v>731</v>
      </c>
      <c r="B17" t="s">
        <v>732</v>
      </c>
      <c r="C17" t="s">
        <v>733</v>
      </c>
      <c r="D17" t="s">
        <v>734</v>
      </c>
      <c r="E17" t="s">
        <v>717</v>
      </c>
    </row>
    <row r="18" spans="1:5">
      <c r="A18" t="s">
        <v>735</v>
      </c>
      <c r="B18" t="s">
        <v>736</v>
      </c>
      <c r="C18" t="s">
        <v>737</v>
      </c>
      <c r="D18" t="s">
        <v>716</v>
      </c>
      <c r="E18" t="s">
        <v>717</v>
      </c>
    </row>
    <row r="19" spans="1:5">
      <c r="A19" t="s">
        <v>738</v>
      </c>
      <c r="B19" t="s">
        <v>739</v>
      </c>
      <c r="C19" t="s">
        <v>740</v>
      </c>
      <c r="D19" t="s">
        <v>716</v>
      </c>
      <c r="E19" t="s">
        <v>717</v>
      </c>
    </row>
    <row r="20" spans="1:5">
      <c r="A20" t="s">
        <v>741</v>
      </c>
      <c r="B20" t="s">
        <v>742</v>
      </c>
      <c r="C20" t="s">
        <v>743</v>
      </c>
      <c r="D20" t="s">
        <v>716</v>
      </c>
      <c r="E20" t="s">
        <v>717</v>
      </c>
    </row>
    <row r="21" spans="1:5">
      <c r="A21" t="s">
        <v>744</v>
      </c>
      <c r="B21" t="s">
        <v>745</v>
      </c>
      <c r="C21" t="s">
        <v>746</v>
      </c>
      <c r="D21" t="s">
        <v>716</v>
      </c>
      <c r="E21" t="s">
        <v>717</v>
      </c>
    </row>
    <row r="22" spans="1:5">
      <c r="A22" t="s">
        <v>747</v>
      </c>
      <c r="B22" t="s">
        <v>748</v>
      </c>
      <c r="C22" t="s">
        <v>749</v>
      </c>
      <c r="E22" t="s">
        <v>750</v>
      </c>
    </row>
    <row r="23" spans="1:5">
      <c r="A23" t="s">
        <v>751</v>
      </c>
      <c r="B23" t="s">
        <v>752</v>
      </c>
      <c r="C23" t="s">
        <v>753</v>
      </c>
      <c r="D23" t="s">
        <v>716</v>
      </c>
      <c r="E23" t="s">
        <v>717</v>
      </c>
    </row>
    <row r="24" spans="1:5">
      <c r="A24" t="s">
        <v>754</v>
      </c>
      <c r="B24" t="s">
        <v>755</v>
      </c>
      <c r="C24" t="s">
        <v>756</v>
      </c>
      <c r="D24" t="s">
        <v>716</v>
      </c>
      <c r="E24" t="s">
        <v>717</v>
      </c>
    </row>
    <row r="25" spans="1:5">
      <c r="A25" t="s">
        <v>757</v>
      </c>
      <c r="B25" t="s">
        <v>758</v>
      </c>
      <c r="C25" t="s">
        <v>759</v>
      </c>
      <c r="D25" t="s">
        <v>716</v>
      </c>
      <c r="E25" t="s">
        <v>717</v>
      </c>
    </row>
    <row r="26" spans="1:5">
      <c r="A26" t="s">
        <v>760</v>
      </c>
      <c r="B26" t="s">
        <v>761</v>
      </c>
      <c r="C26" t="s">
        <v>762</v>
      </c>
      <c r="D26" t="s">
        <v>716</v>
      </c>
      <c r="E26" t="s">
        <v>717</v>
      </c>
    </row>
    <row r="27" spans="1:5">
      <c r="A27" t="s">
        <v>763</v>
      </c>
      <c r="B27" t="s">
        <v>764</v>
      </c>
      <c r="C27" t="s">
        <v>765</v>
      </c>
      <c r="D27" t="s">
        <v>716</v>
      </c>
      <c r="E27" t="s">
        <v>717</v>
      </c>
    </row>
    <row r="28" spans="1:5">
      <c r="A28" t="s">
        <v>766</v>
      </c>
      <c r="B28" t="s">
        <v>767</v>
      </c>
      <c r="C28" t="s">
        <v>768</v>
      </c>
      <c r="D28" t="s">
        <v>716</v>
      </c>
      <c r="E28" t="s">
        <v>717</v>
      </c>
    </row>
    <row r="29" spans="1:5">
      <c r="A29" t="s">
        <v>769</v>
      </c>
      <c r="B29" t="s">
        <v>770</v>
      </c>
      <c r="C29" t="s">
        <v>771</v>
      </c>
      <c r="D29" t="s">
        <v>716</v>
      </c>
      <c r="E29" t="s">
        <v>717</v>
      </c>
    </row>
    <row r="30" spans="1:5">
      <c r="A30" t="s">
        <v>772</v>
      </c>
      <c r="B30" t="s">
        <v>773</v>
      </c>
      <c r="C30" t="s">
        <v>774</v>
      </c>
      <c r="E30" t="s">
        <v>691</v>
      </c>
    </row>
    <row r="31" spans="1:5">
      <c r="A31" t="s">
        <v>775</v>
      </c>
      <c r="B31" t="s">
        <v>776</v>
      </c>
      <c r="C31" t="s">
        <v>777</v>
      </c>
      <c r="E31" t="s">
        <v>691</v>
      </c>
    </row>
    <row r="32" spans="1:5">
      <c r="A32" t="s">
        <v>778</v>
      </c>
      <c r="B32" t="s">
        <v>779</v>
      </c>
      <c r="C32" t="s">
        <v>780</v>
      </c>
      <c r="E32" t="s">
        <v>691</v>
      </c>
    </row>
    <row r="33" spans="1:5">
      <c r="A33" t="s">
        <v>781</v>
      </c>
      <c r="B33" t="s">
        <v>782</v>
      </c>
      <c r="C33" t="s">
        <v>783</v>
      </c>
      <c r="E33" t="s">
        <v>691</v>
      </c>
    </row>
    <row r="34" spans="1:5">
      <c r="A34" t="s">
        <v>784</v>
      </c>
      <c r="B34" t="s">
        <v>785</v>
      </c>
      <c r="C34" t="s">
        <v>786</v>
      </c>
      <c r="E34" t="s">
        <v>691</v>
      </c>
    </row>
    <row r="35" spans="1:5">
      <c r="A35" t="s">
        <v>787</v>
      </c>
      <c r="B35" t="s">
        <v>788</v>
      </c>
      <c r="C35" t="s">
        <v>789</v>
      </c>
      <c r="D35" t="s">
        <v>716</v>
      </c>
      <c r="E35" t="s">
        <v>717</v>
      </c>
    </row>
    <row r="36" spans="1:5">
      <c r="A36" t="s">
        <v>790</v>
      </c>
      <c r="B36" t="s">
        <v>791</v>
      </c>
      <c r="C36" t="s">
        <v>792</v>
      </c>
      <c r="D36" t="s">
        <v>716</v>
      </c>
      <c r="E36" t="s">
        <v>717</v>
      </c>
    </row>
    <row r="37" spans="1:5">
      <c r="A37" t="s">
        <v>793</v>
      </c>
      <c r="B37" t="s">
        <v>794</v>
      </c>
      <c r="C37" t="s">
        <v>795</v>
      </c>
      <c r="D37" t="s">
        <v>716</v>
      </c>
      <c r="E37" t="s">
        <v>796</v>
      </c>
    </row>
    <row r="38" spans="1:5">
      <c r="A38" t="s">
        <v>797</v>
      </c>
      <c r="B38" t="s">
        <v>798</v>
      </c>
      <c r="C38" t="s">
        <v>799</v>
      </c>
      <c r="D38" t="s">
        <v>716</v>
      </c>
      <c r="E38" t="s">
        <v>717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F38"/>
  <sheetViews>
    <sheetView workbookViewId="0">
      <pane ySplit="3" topLeftCell="A4" activePane="bottomLeft" state="frozen"/>
      <selection/>
      <selection pane="bottomLeft" activeCell="J32" sqref="J32"/>
    </sheetView>
  </sheetViews>
  <sheetFormatPr defaultColWidth="9" defaultRowHeight="13.5" outlineLevelCol="5"/>
  <cols>
    <col min="1" max="1" width="12" customWidth="1"/>
    <col min="2" max="2" width="46.125" customWidth="1"/>
    <col min="3" max="3" width="65.25" customWidth="1"/>
    <col min="4" max="4" width="25.375" customWidth="1"/>
    <col min="5" max="5" width="64.125" customWidth="1"/>
    <col min="6" max="6" width="30" customWidth="1"/>
  </cols>
  <sheetData>
    <row r="1" ht="14.25" customHeight="1" spans="1:6">
      <c r="A1" s="19" t="s">
        <v>800</v>
      </c>
    </row>
    <row r="2" spans="1:6">
      <c r="A2" s="20" t="s">
        <v>801</v>
      </c>
    </row>
    <row r="4" spans="1:6">
      <c r="A4" s="22" t="s">
        <v>802</v>
      </c>
      <c r="B4" s="23"/>
      <c r="C4" s="23"/>
      <c r="D4" s="23"/>
      <c r="E4" s="23"/>
    </row>
    <row r="5" spans="1:6">
      <c r="A5" s="21" t="s">
        <v>803</v>
      </c>
      <c r="B5" s="21" t="s">
        <v>804</v>
      </c>
      <c r="C5" s="21" t="s">
        <v>805</v>
      </c>
      <c r="D5" s="21" t="s">
        <v>806</v>
      </c>
      <c r="E5" s="21" t="s">
        <v>807</v>
      </c>
      <c r="F5" s="21" t="s">
        <v>153</v>
      </c>
    </row>
    <row r="6" spans="1:6">
      <c r="A6" t="s">
        <v>808</v>
      </c>
      <c r="B6" t="s">
        <v>461</v>
      </c>
      <c r="C6" t="s">
        <v>809</v>
      </c>
      <c r="D6" t="s">
        <v>460</v>
      </c>
      <c r="E6" t="s">
        <v>810</v>
      </c>
      <c r="F6" t="s">
        <v>248</v>
      </c>
    </row>
    <row r="7" spans="1:6">
      <c r="A7" t="s">
        <v>811</v>
      </c>
      <c r="B7" t="s">
        <v>812</v>
      </c>
      <c r="C7" t="s">
        <v>813</v>
      </c>
      <c r="D7" t="s">
        <v>486</v>
      </c>
      <c r="E7" t="s">
        <v>814</v>
      </c>
      <c r="F7" t="s">
        <v>248</v>
      </c>
    </row>
    <row r="9" spans="1:6">
      <c r="A9" s="22" t="s">
        <v>815</v>
      </c>
      <c r="B9" s="23"/>
      <c r="C9" s="23"/>
      <c r="D9" s="23"/>
      <c r="E9" s="23"/>
    </row>
    <row r="10" spans="1:6">
      <c r="A10" s="21" t="s">
        <v>816</v>
      </c>
      <c r="B10" s="21" t="s">
        <v>817</v>
      </c>
      <c r="C10" s="21" t="s">
        <v>818</v>
      </c>
      <c r="D10" s="21" t="s">
        <v>819</v>
      </c>
      <c r="E10" s="21" t="s">
        <v>6</v>
      </c>
      <c r="F10" s="21" t="s">
        <v>153</v>
      </c>
    </row>
    <row r="11" spans="1:6">
      <c r="A11" t="s">
        <v>820</v>
      </c>
      <c r="B11" t="s">
        <v>821</v>
      </c>
      <c r="C11" t="s">
        <v>822</v>
      </c>
      <c r="D11" t="s">
        <v>823</v>
      </c>
      <c r="F11" t="s">
        <v>824</v>
      </c>
    </row>
    <row r="12" spans="1:6">
      <c r="A12" t="s">
        <v>825</v>
      </c>
      <c r="B12" t="s">
        <v>826</v>
      </c>
      <c r="C12" t="s">
        <v>827</v>
      </c>
      <c r="D12" t="s">
        <v>823</v>
      </c>
      <c r="F12" t="s">
        <v>824</v>
      </c>
    </row>
    <row r="13" spans="1:6">
      <c r="A13" t="s">
        <v>828</v>
      </c>
      <c r="B13" t="s">
        <v>829</v>
      </c>
      <c r="C13" t="s">
        <v>830</v>
      </c>
      <c r="D13" t="s">
        <v>823</v>
      </c>
      <c r="E13" t="s">
        <v>831</v>
      </c>
      <c r="F13" t="s">
        <v>824</v>
      </c>
    </row>
    <row r="14" spans="1:6">
      <c r="A14" t="s">
        <v>832</v>
      </c>
      <c r="B14" t="s">
        <v>833</v>
      </c>
      <c r="C14" t="s">
        <v>834</v>
      </c>
      <c r="D14" t="s">
        <v>823</v>
      </c>
      <c r="F14" t="s">
        <v>824</v>
      </c>
    </row>
    <row r="15" spans="1:6">
      <c r="A15" t="s">
        <v>835</v>
      </c>
      <c r="B15" t="s">
        <v>836</v>
      </c>
      <c r="C15" t="s">
        <v>837</v>
      </c>
      <c r="D15" t="s">
        <v>823</v>
      </c>
      <c r="F15" t="s">
        <v>824</v>
      </c>
    </row>
    <row r="16" spans="1:6">
      <c r="A16" t="s">
        <v>838</v>
      </c>
      <c r="B16" t="s">
        <v>839</v>
      </c>
      <c r="C16" t="s">
        <v>840</v>
      </c>
      <c r="D16" t="s">
        <v>841</v>
      </c>
      <c r="E16" t="s">
        <v>842</v>
      </c>
      <c r="F16" t="s">
        <v>842</v>
      </c>
    </row>
    <row r="17" spans="1:6">
      <c r="A17" t="s">
        <v>843</v>
      </c>
      <c r="B17" t="s">
        <v>844</v>
      </c>
      <c r="C17" t="s">
        <v>845</v>
      </c>
      <c r="D17" t="s">
        <v>846</v>
      </c>
      <c r="E17" t="s">
        <v>847</v>
      </c>
      <c r="F17" t="s">
        <v>842</v>
      </c>
    </row>
    <row r="18" spans="1:6">
      <c r="A18" t="s">
        <v>848</v>
      </c>
      <c r="B18" t="s">
        <v>849</v>
      </c>
      <c r="C18" t="s">
        <v>850</v>
      </c>
      <c r="D18" t="s">
        <v>841</v>
      </c>
      <c r="E18" t="s">
        <v>847</v>
      </c>
      <c r="F18" t="s">
        <v>842</v>
      </c>
    </row>
    <row r="19" spans="1:6">
      <c r="A19" t="s">
        <v>851</v>
      </c>
      <c r="B19" t="s">
        <v>852</v>
      </c>
      <c r="C19" t="s">
        <v>853</v>
      </c>
      <c r="D19" t="s">
        <v>841</v>
      </c>
      <c r="E19" t="s">
        <v>854</v>
      </c>
      <c r="F19" t="s">
        <v>824</v>
      </c>
    </row>
    <row r="20" spans="1:6">
      <c r="A20" t="s">
        <v>855</v>
      </c>
      <c r="B20" t="s">
        <v>856</v>
      </c>
      <c r="C20" t="s">
        <v>857</v>
      </c>
      <c r="D20" t="s">
        <v>841</v>
      </c>
      <c r="F20" t="s">
        <v>824</v>
      </c>
    </row>
    <row r="21" spans="1:6">
      <c r="A21" t="s">
        <v>858</v>
      </c>
      <c r="B21" t="s">
        <v>859</v>
      </c>
      <c r="C21" t="s">
        <v>860</v>
      </c>
      <c r="D21" t="s">
        <v>841</v>
      </c>
      <c r="E21" t="s">
        <v>861</v>
      </c>
      <c r="F21" t="s">
        <v>824</v>
      </c>
    </row>
    <row r="23" spans="1:6">
      <c r="A23" s="22" t="s">
        <v>862</v>
      </c>
      <c r="B23" s="23"/>
      <c r="C23" s="23"/>
      <c r="D23" s="23"/>
      <c r="E23" s="23"/>
    </row>
    <row r="24" spans="1:6">
      <c r="A24" s="21" t="s">
        <v>863</v>
      </c>
      <c r="B24" s="21" t="s">
        <v>804</v>
      </c>
      <c r="C24" s="21" t="s">
        <v>864</v>
      </c>
      <c r="D24" s="21" t="s">
        <v>865</v>
      </c>
      <c r="E24" s="21" t="s">
        <v>6</v>
      </c>
      <c r="F24" s="21" t="s">
        <v>153</v>
      </c>
    </row>
    <row r="25" spans="1:6">
      <c r="A25" t="s">
        <v>866</v>
      </c>
      <c r="B25" t="s">
        <v>867</v>
      </c>
      <c r="C25" t="s">
        <v>868</v>
      </c>
      <c r="D25" t="s">
        <v>869</v>
      </c>
      <c r="E25" t="s">
        <v>870</v>
      </c>
      <c r="F25" t="s">
        <v>412</v>
      </c>
    </row>
    <row r="26" spans="1:6">
      <c r="A26" t="s">
        <v>871</v>
      </c>
      <c r="B26" t="s">
        <v>872</v>
      </c>
      <c r="C26" t="s">
        <v>363</v>
      </c>
      <c r="D26" t="s">
        <v>873</v>
      </c>
      <c r="E26" t="s">
        <v>874</v>
      </c>
      <c r="F26" t="s">
        <v>412</v>
      </c>
    </row>
    <row r="27" spans="1:6">
      <c r="A27" t="s">
        <v>875</v>
      </c>
      <c r="B27" t="s">
        <v>876</v>
      </c>
      <c r="C27" t="s">
        <v>877</v>
      </c>
      <c r="D27" t="s">
        <v>878</v>
      </c>
      <c r="E27" t="s">
        <v>879</v>
      </c>
      <c r="F27" t="s">
        <v>412</v>
      </c>
    </row>
    <row r="28" spans="1:6">
      <c r="A28" t="s">
        <v>880</v>
      </c>
      <c r="B28" t="s">
        <v>881</v>
      </c>
      <c r="C28" t="s">
        <v>372</v>
      </c>
      <c r="D28" t="s">
        <v>873</v>
      </c>
      <c r="E28" t="s">
        <v>882</v>
      </c>
      <c r="F28" t="s">
        <v>412</v>
      </c>
    </row>
    <row r="29" spans="1:6">
      <c r="A29" t="s">
        <v>883</v>
      </c>
      <c r="B29" t="s">
        <v>884</v>
      </c>
      <c r="C29" t="s">
        <v>372</v>
      </c>
      <c r="D29" t="s">
        <v>314</v>
      </c>
      <c r="E29" t="s">
        <v>885</v>
      </c>
      <c r="F29" t="s">
        <v>314</v>
      </c>
    </row>
    <row r="30" spans="1:6">
      <c r="A30" t="s">
        <v>886</v>
      </c>
      <c r="B30" t="s">
        <v>887</v>
      </c>
      <c r="C30" t="s">
        <v>888</v>
      </c>
      <c r="D30" t="s">
        <v>889</v>
      </c>
      <c r="E30" t="s">
        <v>890</v>
      </c>
      <c r="F30" t="s">
        <v>412</v>
      </c>
    </row>
    <row r="31" spans="1:6">
      <c r="A31" t="s">
        <v>891</v>
      </c>
      <c r="B31" t="s">
        <v>892</v>
      </c>
      <c r="C31" t="s">
        <v>893</v>
      </c>
      <c r="D31" t="s">
        <v>873</v>
      </c>
      <c r="E31" t="s">
        <v>894</v>
      </c>
      <c r="F31" t="s">
        <v>412</v>
      </c>
    </row>
    <row r="33" spans="1:6">
      <c r="A33" s="22" t="s">
        <v>895</v>
      </c>
      <c r="B33" s="23"/>
      <c r="C33" s="23"/>
      <c r="D33" s="23"/>
      <c r="E33" s="23"/>
    </row>
    <row r="34" spans="1:6">
      <c r="A34" s="21" t="s">
        <v>896</v>
      </c>
      <c r="B34" s="21" t="s">
        <v>897</v>
      </c>
      <c r="C34" s="21" t="s">
        <v>898</v>
      </c>
      <c r="D34" s="21" t="s">
        <v>899</v>
      </c>
      <c r="E34" s="21" t="s">
        <v>6</v>
      </c>
      <c r="F34" s="21" t="s">
        <v>153</v>
      </c>
    </row>
    <row r="35" spans="1:6">
      <c r="A35" t="s">
        <v>900</v>
      </c>
      <c r="B35" t="s">
        <v>901</v>
      </c>
      <c r="C35" t="s">
        <v>902</v>
      </c>
      <c r="D35" t="s">
        <v>80</v>
      </c>
      <c r="E35" t="s">
        <v>162</v>
      </c>
      <c r="F35" t="s">
        <v>162</v>
      </c>
    </row>
    <row r="36" spans="1:6">
      <c r="A36" t="s">
        <v>903</v>
      </c>
      <c r="B36" t="s">
        <v>904</v>
      </c>
      <c r="C36" t="s">
        <v>905</v>
      </c>
      <c r="D36" t="s">
        <v>808</v>
      </c>
      <c r="E36" t="s">
        <v>906</v>
      </c>
      <c r="F36" t="s">
        <v>250</v>
      </c>
    </row>
    <row r="37" spans="1:6">
      <c r="A37" t="s">
        <v>907</v>
      </c>
      <c r="B37" t="s">
        <v>908</v>
      </c>
      <c r="C37" t="s">
        <v>909</v>
      </c>
      <c r="D37" t="s">
        <v>811</v>
      </c>
      <c r="E37" t="s">
        <v>906</v>
      </c>
      <c r="F37" t="s">
        <v>250</v>
      </c>
    </row>
    <row r="38" spans="1:6">
      <c r="A38" t="s">
        <v>910</v>
      </c>
      <c r="B38" t="s">
        <v>911</v>
      </c>
      <c r="C38" t="s">
        <v>912</v>
      </c>
      <c r="D38" t="s">
        <v>80</v>
      </c>
      <c r="E38" t="s">
        <v>913</v>
      </c>
      <c r="F38" t="s">
        <v>914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G14"/>
  <sheetViews>
    <sheetView workbookViewId="0">
      <pane ySplit="3" topLeftCell="A4" activePane="bottomLeft" state="frozen"/>
      <selection/>
      <selection pane="bottomLeft" activeCell="C11" sqref="C11"/>
    </sheetView>
  </sheetViews>
  <sheetFormatPr defaultColWidth="9" defaultRowHeight="13.5" outlineLevelCol="6"/>
  <cols>
    <col min="1" max="1" width="9.5" customWidth="1"/>
    <col min="2" max="2" width="72.625" customWidth="1"/>
    <col min="3" max="3" width="17.875" customWidth="1"/>
    <col min="4" max="4" width="31.25" customWidth="1"/>
    <col min="5" max="5" width="18.75" customWidth="1"/>
    <col min="6" max="6" width="39.75" customWidth="1"/>
    <col min="7" max="7" width="32" customWidth="1"/>
  </cols>
  <sheetData>
    <row r="1" ht="14.25" customHeight="1" spans="1:7">
      <c r="A1" s="19" t="s">
        <v>915</v>
      </c>
    </row>
    <row r="2" spans="1:7">
      <c r="A2" s="20" t="s">
        <v>916</v>
      </c>
    </row>
    <row r="3" spans="1:7">
      <c r="A3" s="21" t="s">
        <v>917</v>
      </c>
      <c r="B3" s="21" t="s">
        <v>918</v>
      </c>
      <c r="C3" s="21" t="s">
        <v>919</v>
      </c>
      <c r="D3" s="21" t="s">
        <v>920</v>
      </c>
      <c r="E3" s="21" t="s">
        <v>921</v>
      </c>
      <c r="F3" s="21" t="s">
        <v>922</v>
      </c>
      <c r="G3" s="21" t="s">
        <v>153</v>
      </c>
    </row>
    <row r="4" ht="17" customHeight="1" spans="1:7">
      <c r="A4" t="s">
        <v>923</v>
      </c>
      <c r="B4" t="s">
        <v>924</v>
      </c>
      <c r="C4" t="s">
        <v>925</v>
      </c>
      <c r="D4" t="s">
        <v>926</v>
      </c>
      <c r="E4">
        <f>IF($A4="","",COUNTIF('10.TC一覧'!$E$4:$E$31,"*"&amp;$A4&amp;"*"))</f>
        <v>0</v>
      </c>
      <c r="F4" t="s">
        <v>927</v>
      </c>
      <c r="G4" t="s">
        <v>928</v>
      </c>
    </row>
    <row r="5" ht="17" customHeight="1" spans="1:7">
      <c r="A5" t="s">
        <v>673</v>
      </c>
      <c r="B5" t="s">
        <v>929</v>
      </c>
      <c r="C5" t="s">
        <v>466</v>
      </c>
      <c r="D5" t="s">
        <v>930</v>
      </c>
      <c r="E5">
        <f>IF($A5="","",COUNTIF('10.TC一覧'!$E$4:$E$31,"*"&amp;$A5&amp;"*"))</f>
        <v>0</v>
      </c>
      <c r="F5" t="s">
        <v>931</v>
      </c>
      <c r="G5" t="s">
        <v>932</v>
      </c>
    </row>
    <row r="6" ht="17" customHeight="1" spans="1:7">
      <c r="A6" t="s">
        <v>933</v>
      </c>
      <c r="B6" t="s">
        <v>934</v>
      </c>
      <c r="C6" t="s">
        <v>471</v>
      </c>
      <c r="D6" t="s">
        <v>935</v>
      </c>
      <c r="E6">
        <f>IF($A6="","",COUNTIF('10.TC一覧'!$E$4:$E$31,"*"&amp;$A6&amp;"*"))</f>
        <v>0</v>
      </c>
      <c r="F6" t="s">
        <v>936</v>
      </c>
      <c r="G6" t="s">
        <v>936</v>
      </c>
    </row>
    <row r="7" ht="17" customHeight="1" spans="1:7">
      <c r="A7" t="s">
        <v>642</v>
      </c>
      <c r="B7" t="s">
        <v>937</v>
      </c>
      <c r="C7" t="s">
        <v>460</v>
      </c>
      <c r="D7" t="s">
        <v>938</v>
      </c>
      <c r="E7">
        <f>IF($A7="","",COUNTIF('10.TC一覧'!$E$4:$E$31,"*"&amp;$A7&amp;"*"))</f>
        <v>2</v>
      </c>
      <c r="F7" t="s">
        <v>939</v>
      </c>
      <c r="G7" t="s">
        <v>940</v>
      </c>
    </row>
    <row r="8" ht="17" customHeight="1" spans="1:7">
      <c r="A8" t="s">
        <v>941</v>
      </c>
      <c r="B8" t="s">
        <v>942</v>
      </c>
      <c r="C8" t="s">
        <v>460</v>
      </c>
      <c r="D8" t="s">
        <v>943</v>
      </c>
      <c r="E8">
        <f>IF($A8="","",COUNTIF('10.TC一覧'!$E$4:$E$31,"*"&amp;$A8&amp;"*"))</f>
        <v>3</v>
      </c>
      <c r="F8" t="s">
        <v>944</v>
      </c>
      <c r="G8" t="s">
        <v>940</v>
      </c>
    </row>
    <row r="9" ht="17" customHeight="1" spans="1:7">
      <c r="A9" t="s">
        <v>945</v>
      </c>
      <c r="B9" t="s">
        <v>946</v>
      </c>
      <c r="C9" t="s">
        <v>460</v>
      </c>
      <c r="D9" t="s">
        <v>943</v>
      </c>
      <c r="E9">
        <f>IF($A9="","",COUNTIF('10.TC一覧'!$E$4:$E$31,"*"&amp;$A9&amp;"*"))</f>
        <v>1</v>
      </c>
      <c r="F9" t="s">
        <v>947</v>
      </c>
      <c r="G9" t="s">
        <v>940</v>
      </c>
    </row>
    <row r="10" ht="17" customHeight="1" spans="1:7">
      <c r="A10" t="s">
        <v>661</v>
      </c>
      <c r="B10" t="s">
        <v>948</v>
      </c>
      <c r="C10" t="s">
        <v>476</v>
      </c>
      <c r="D10" t="s">
        <v>949</v>
      </c>
      <c r="E10">
        <f>IF($A10="","",COUNTIF('10.TC一覧'!$E$4:$E$31,"*"&amp;$A10&amp;"*"))</f>
        <v>1</v>
      </c>
      <c r="F10" t="s">
        <v>950</v>
      </c>
      <c r="G10" t="s">
        <v>951</v>
      </c>
    </row>
    <row r="11" ht="17" customHeight="1" spans="1:7">
      <c r="A11" t="s">
        <v>952</v>
      </c>
      <c r="B11" t="s">
        <v>953</v>
      </c>
      <c r="C11" t="s">
        <v>954</v>
      </c>
      <c r="D11" t="s">
        <v>938</v>
      </c>
      <c r="E11">
        <f>IF($A11="","",COUNTIF('10.TC一覧'!$E$4:$E$31,"*"&amp;$A11&amp;"*"))</f>
        <v>2</v>
      </c>
      <c r="F11" t="s">
        <v>955</v>
      </c>
      <c r="G11" t="s">
        <v>956</v>
      </c>
    </row>
    <row r="12" ht="17" customHeight="1" spans="1:7">
      <c r="A12" t="s">
        <v>619</v>
      </c>
      <c r="B12" t="s">
        <v>957</v>
      </c>
      <c r="C12" t="s">
        <v>486</v>
      </c>
      <c r="D12" t="s">
        <v>943</v>
      </c>
      <c r="E12">
        <f>IF($A12="","",COUNTIF('10.TC一覧'!$E$4:$E$31,"*"&amp;$A12&amp;"*"))</f>
        <v>2</v>
      </c>
      <c r="F12" t="s">
        <v>958</v>
      </c>
      <c r="G12" t="s">
        <v>956</v>
      </c>
    </row>
    <row r="13" ht="17" customHeight="1" spans="1:7">
      <c r="A13" t="s">
        <v>646</v>
      </c>
      <c r="B13" t="s">
        <v>959</v>
      </c>
      <c r="C13" t="s">
        <v>486</v>
      </c>
      <c r="D13" t="s">
        <v>943</v>
      </c>
      <c r="E13">
        <f>IF($A13="","",COUNTIF('10.TC一覧'!$E$4:$E$31,"*"&amp;$A13&amp;"*"))</f>
        <v>2</v>
      </c>
      <c r="F13" t="s">
        <v>960</v>
      </c>
      <c r="G13" t="s">
        <v>956</v>
      </c>
    </row>
    <row r="14" ht="17" customHeight="1" spans="1:7">
      <c r="A14" t="s">
        <v>961</v>
      </c>
      <c r="B14" t="s">
        <v>962</v>
      </c>
      <c r="C14" t="s">
        <v>486</v>
      </c>
      <c r="D14" t="s">
        <v>943</v>
      </c>
      <c r="E14">
        <f>IF($A14="","",COUNTIF('10.TC一覧'!$E$4:$E$31,"*"&amp;$A14&amp;"*"))</f>
        <v>3</v>
      </c>
      <c r="F14" t="s">
        <v>963</v>
      </c>
      <c r="G14" t="s">
        <v>956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G31"/>
  <sheetViews>
    <sheetView workbookViewId="0">
      <pane ySplit="3" topLeftCell="A4" activePane="bottomLeft" state="frozen"/>
      <selection/>
      <selection pane="bottomLeft" activeCell="K25" sqref="K25"/>
    </sheetView>
  </sheetViews>
  <sheetFormatPr defaultColWidth="9" defaultRowHeight="13.5" outlineLevelCol="6"/>
  <cols>
    <col min="1" max="1" width="10" customWidth="1"/>
    <col min="2" max="2" width="52.625" customWidth="1"/>
    <col min="3" max="3" width="40.125" customWidth="1"/>
    <col min="4" max="4" width="10.375" customWidth="1"/>
    <col min="5" max="5" width="7.625" customWidth="1"/>
    <col min="6" max="6" width="32.375" customWidth="1"/>
    <col min="7" max="7" width="24" customWidth="1"/>
  </cols>
  <sheetData>
    <row r="1" ht="14.25" customHeight="1" spans="1:7">
      <c r="A1" s="19" t="s">
        <v>964</v>
      </c>
    </row>
    <row r="2" spans="1:7">
      <c r="A2" s="20" t="s">
        <v>965</v>
      </c>
    </row>
    <row r="3" spans="1:7">
      <c r="A3" s="21" t="s">
        <v>966</v>
      </c>
      <c r="B3" s="21" t="s">
        <v>967</v>
      </c>
      <c r="C3" s="21" t="s">
        <v>968</v>
      </c>
      <c r="D3" s="21" t="s">
        <v>969</v>
      </c>
      <c r="E3" s="21" t="s">
        <v>970</v>
      </c>
      <c r="F3" s="21" t="s">
        <v>971</v>
      </c>
      <c r="G3" s="21" t="s">
        <v>153</v>
      </c>
    </row>
    <row r="4" ht="18" customHeight="1" spans="1:7">
      <c r="A4" t="s">
        <v>972</v>
      </c>
      <c r="B4" t="s">
        <v>973</v>
      </c>
      <c r="C4" t="s">
        <v>974</v>
      </c>
      <c r="D4" t="s">
        <v>460</v>
      </c>
      <c r="E4" t="s">
        <v>642</v>
      </c>
      <c r="F4" t="s">
        <v>975</v>
      </c>
      <c r="G4" t="s">
        <v>976</v>
      </c>
    </row>
    <row r="5" ht="18" customHeight="1" spans="1:7">
      <c r="A5" t="s">
        <v>977</v>
      </c>
      <c r="B5" t="s">
        <v>973</v>
      </c>
      <c r="C5" t="s">
        <v>978</v>
      </c>
      <c r="D5" t="s">
        <v>460</v>
      </c>
      <c r="E5" t="s">
        <v>941</v>
      </c>
      <c r="F5" t="s">
        <v>624</v>
      </c>
      <c r="G5" t="s">
        <v>976</v>
      </c>
    </row>
    <row r="6" ht="18" customHeight="1" spans="1:7">
      <c r="A6" t="s">
        <v>979</v>
      </c>
      <c r="B6" t="s">
        <v>973</v>
      </c>
      <c r="C6" t="s">
        <v>980</v>
      </c>
      <c r="D6" t="s">
        <v>460</v>
      </c>
      <c r="E6" t="s">
        <v>941</v>
      </c>
      <c r="F6" t="s">
        <v>981</v>
      </c>
      <c r="G6" t="s">
        <v>976</v>
      </c>
    </row>
    <row r="7" ht="18" customHeight="1" spans="1:7">
      <c r="A7" t="s">
        <v>982</v>
      </c>
      <c r="B7" t="s">
        <v>973</v>
      </c>
      <c r="C7" t="s">
        <v>983</v>
      </c>
      <c r="D7" t="s">
        <v>460</v>
      </c>
      <c r="E7" t="s">
        <v>941</v>
      </c>
      <c r="F7" t="s">
        <v>984</v>
      </c>
      <c r="G7" t="s">
        <v>976</v>
      </c>
    </row>
    <row r="8" ht="18" customHeight="1" spans="1:7">
      <c r="A8" t="s">
        <v>947</v>
      </c>
      <c r="B8" t="s">
        <v>973</v>
      </c>
      <c r="C8" t="s">
        <v>985</v>
      </c>
      <c r="D8" t="s">
        <v>460</v>
      </c>
      <c r="E8" t="s">
        <v>945</v>
      </c>
      <c r="F8" t="s">
        <v>986</v>
      </c>
      <c r="G8" t="s">
        <v>976</v>
      </c>
    </row>
    <row r="9" ht="18" customHeight="1" spans="1:7">
      <c r="A9" t="s">
        <v>987</v>
      </c>
      <c r="B9" t="s">
        <v>973</v>
      </c>
      <c r="C9" t="s">
        <v>988</v>
      </c>
      <c r="D9" t="s">
        <v>460</v>
      </c>
      <c r="E9" t="s">
        <v>642</v>
      </c>
      <c r="F9" t="s">
        <v>989</v>
      </c>
      <c r="G9" t="s">
        <v>976</v>
      </c>
    </row>
    <row r="10" ht="18" customHeight="1" spans="1:7">
      <c r="A10" t="s">
        <v>990</v>
      </c>
      <c r="B10" t="s">
        <v>991</v>
      </c>
      <c r="C10" t="s">
        <v>992</v>
      </c>
      <c r="D10" t="s">
        <v>993</v>
      </c>
      <c r="E10" t="s">
        <v>952</v>
      </c>
      <c r="F10" t="s">
        <v>994</v>
      </c>
      <c r="G10" t="s">
        <v>976</v>
      </c>
    </row>
    <row r="11" ht="18" customHeight="1" spans="1:7">
      <c r="A11" t="s">
        <v>995</v>
      </c>
      <c r="B11" t="s">
        <v>991</v>
      </c>
      <c r="C11" t="s">
        <v>996</v>
      </c>
      <c r="D11" t="s">
        <v>486</v>
      </c>
      <c r="E11" t="s">
        <v>619</v>
      </c>
      <c r="F11" t="s">
        <v>997</v>
      </c>
      <c r="G11" t="s">
        <v>976</v>
      </c>
    </row>
    <row r="12" ht="18" customHeight="1" spans="1:7">
      <c r="A12" t="s">
        <v>998</v>
      </c>
      <c r="B12" t="s">
        <v>991</v>
      </c>
      <c r="C12" t="s">
        <v>999</v>
      </c>
      <c r="D12" t="s">
        <v>486</v>
      </c>
      <c r="E12" t="s">
        <v>646</v>
      </c>
      <c r="F12" t="s">
        <v>643</v>
      </c>
      <c r="G12" t="s">
        <v>976</v>
      </c>
    </row>
    <row r="13" ht="18" customHeight="1" spans="1:7">
      <c r="A13" t="s">
        <v>1000</v>
      </c>
      <c r="B13" t="s">
        <v>991</v>
      </c>
      <c r="C13" t="s">
        <v>1001</v>
      </c>
      <c r="D13" t="s">
        <v>486</v>
      </c>
      <c r="E13" t="s">
        <v>646</v>
      </c>
      <c r="F13" t="s">
        <v>1002</v>
      </c>
      <c r="G13" t="s">
        <v>976</v>
      </c>
    </row>
    <row r="14" ht="18" customHeight="1" spans="1:7">
      <c r="A14" t="s">
        <v>1003</v>
      </c>
      <c r="B14" t="s">
        <v>991</v>
      </c>
      <c r="C14" t="s">
        <v>1004</v>
      </c>
      <c r="D14" t="s">
        <v>486</v>
      </c>
      <c r="E14" t="s">
        <v>961</v>
      </c>
      <c r="F14" t="s">
        <v>1005</v>
      </c>
      <c r="G14" t="s">
        <v>976</v>
      </c>
    </row>
    <row r="15" ht="18" customHeight="1" spans="1:7">
      <c r="A15" t="s">
        <v>950</v>
      </c>
      <c r="B15" t="s">
        <v>1006</v>
      </c>
      <c r="C15" t="s">
        <v>1007</v>
      </c>
      <c r="D15" t="s">
        <v>476</v>
      </c>
      <c r="E15" t="s">
        <v>661</v>
      </c>
      <c r="F15" t="s">
        <v>1008</v>
      </c>
      <c r="G15" t="s">
        <v>976</v>
      </c>
    </row>
    <row r="16" ht="18" customHeight="1" spans="1:7">
      <c r="A16" t="s">
        <v>1009</v>
      </c>
      <c r="B16" t="s">
        <v>1010</v>
      </c>
      <c r="C16" t="s">
        <v>1011</v>
      </c>
      <c r="D16" t="s">
        <v>480</v>
      </c>
      <c r="E16" t="s">
        <v>80</v>
      </c>
      <c r="F16" t="s">
        <v>1012</v>
      </c>
      <c r="G16" t="s">
        <v>976</v>
      </c>
    </row>
    <row r="17" ht="18" customHeight="1" spans="1:7">
      <c r="A17" t="s">
        <v>1013</v>
      </c>
      <c r="B17" t="s">
        <v>991</v>
      </c>
      <c r="C17" t="s">
        <v>1014</v>
      </c>
      <c r="D17" t="s">
        <v>486</v>
      </c>
      <c r="E17" t="s">
        <v>80</v>
      </c>
      <c r="F17" t="s">
        <v>1015</v>
      </c>
      <c r="G17" t="s">
        <v>976</v>
      </c>
    </row>
    <row r="18" ht="18" customHeight="1" spans="1:7">
      <c r="A18" t="s">
        <v>1016</v>
      </c>
      <c r="B18" t="s">
        <v>1006</v>
      </c>
      <c r="C18" t="s">
        <v>1017</v>
      </c>
      <c r="D18" t="s">
        <v>476</v>
      </c>
      <c r="E18" t="s">
        <v>80</v>
      </c>
      <c r="F18" t="s">
        <v>1018</v>
      </c>
      <c r="G18" t="s">
        <v>976</v>
      </c>
    </row>
    <row r="19" ht="18" customHeight="1" spans="1:7">
      <c r="A19" t="s">
        <v>1019</v>
      </c>
      <c r="B19" t="s">
        <v>1020</v>
      </c>
      <c r="C19" t="s">
        <v>1021</v>
      </c>
      <c r="D19" t="s">
        <v>480</v>
      </c>
      <c r="E19" t="s">
        <v>80</v>
      </c>
      <c r="F19" t="s">
        <v>1022</v>
      </c>
      <c r="G19" t="s">
        <v>976</v>
      </c>
    </row>
    <row r="20" ht="18" customHeight="1" spans="1:7">
      <c r="A20" t="s">
        <v>1023</v>
      </c>
      <c r="B20" t="s">
        <v>1024</v>
      </c>
      <c r="C20" t="s">
        <v>1025</v>
      </c>
      <c r="D20" t="s">
        <v>486</v>
      </c>
      <c r="E20" t="s">
        <v>961</v>
      </c>
      <c r="F20" t="s">
        <v>1026</v>
      </c>
      <c r="G20" t="s">
        <v>976</v>
      </c>
    </row>
    <row r="21" ht="18" customHeight="1" spans="1:7">
      <c r="A21" t="s">
        <v>1027</v>
      </c>
      <c r="B21" t="s">
        <v>1024</v>
      </c>
      <c r="C21" t="s">
        <v>1028</v>
      </c>
      <c r="D21" t="s">
        <v>486</v>
      </c>
      <c r="E21" t="s">
        <v>961</v>
      </c>
      <c r="F21" t="s">
        <v>297</v>
      </c>
      <c r="G21" t="s">
        <v>976</v>
      </c>
    </row>
    <row r="22" ht="18" customHeight="1" spans="1:7">
      <c r="A22" t="s">
        <v>1029</v>
      </c>
      <c r="B22" t="s">
        <v>1030</v>
      </c>
      <c r="C22" t="s">
        <v>1031</v>
      </c>
      <c r="D22" t="s">
        <v>486</v>
      </c>
      <c r="E22" t="s">
        <v>80</v>
      </c>
      <c r="F22" t="s">
        <v>1032</v>
      </c>
      <c r="G22" t="s">
        <v>976</v>
      </c>
    </row>
    <row r="23" ht="18" customHeight="1" spans="1:7">
      <c r="A23" t="s">
        <v>1033</v>
      </c>
      <c r="B23" t="s">
        <v>1034</v>
      </c>
      <c r="C23" t="s">
        <v>1035</v>
      </c>
      <c r="D23" t="s">
        <v>486</v>
      </c>
      <c r="E23" t="s">
        <v>952</v>
      </c>
      <c r="F23" t="s">
        <v>1036</v>
      </c>
      <c r="G23" t="s">
        <v>976</v>
      </c>
    </row>
    <row r="24" ht="18" customHeight="1" spans="1:7">
      <c r="A24" t="s">
        <v>1037</v>
      </c>
      <c r="B24" t="s">
        <v>1034</v>
      </c>
      <c r="C24" t="s">
        <v>1038</v>
      </c>
      <c r="D24" t="s">
        <v>486</v>
      </c>
      <c r="E24" t="s">
        <v>80</v>
      </c>
      <c r="F24" t="s">
        <v>1039</v>
      </c>
      <c r="G24" t="s">
        <v>976</v>
      </c>
    </row>
    <row r="25" ht="18" customHeight="1" spans="1:7">
      <c r="A25" t="s">
        <v>1040</v>
      </c>
      <c r="B25" t="s">
        <v>1034</v>
      </c>
      <c r="C25" t="s">
        <v>1041</v>
      </c>
      <c r="D25" t="s">
        <v>486</v>
      </c>
      <c r="E25" t="s">
        <v>80</v>
      </c>
      <c r="F25" t="s">
        <v>1042</v>
      </c>
      <c r="G25" t="s">
        <v>976</v>
      </c>
    </row>
    <row r="26" ht="18" customHeight="1" spans="1:7">
      <c r="A26" t="s">
        <v>1043</v>
      </c>
      <c r="B26" t="s">
        <v>1034</v>
      </c>
      <c r="C26" t="s">
        <v>1044</v>
      </c>
      <c r="D26" t="s">
        <v>486</v>
      </c>
      <c r="E26" t="s">
        <v>619</v>
      </c>
      <c r="F26" t="s">
        <v>1045</v>
      </c>
      <c r="G26" t="s">
        <v>976</v>
      </c>
    </row>
    <row r="27" ht="18" customHeight="1" spans="1:7">
      <c r="A27" t="s">
        <v>1046</v>
      </c>
      <c r="B27" t="s">
        <v>1034</v>
      </c>
      <c r="C27" t="s">
        <v>1047</v>
      </c>
      <c r="D27" t="s">
        <v>486</v>
      </c>
      <c r="E27" t="s">
        <v>80</v>
      </c>
      <c r="F27" t="s">
        <v>1048</v>
      </c>
      <c r="G27" t="s">
        <v>976</v>
      </c>
    </row>
    <row r="28" ht="18" customHeight="1" spans="1:7">
      <c r="A28" t="s">
        <v>1049</v>
      </c>
      <c r="B28" t="s">
        <v>1034</v>
      </c>
      <c r="C28" t="s">
        <v>1050</v>
      </c>
      <c r="D28" t="s">
        <v>486</v>
      </c>
      <c r="E28" t="s">
        <v>80</v>
      </c>
      <c r="F28" t="s">
        <v>1051</v>
      </c>
      <c r="G28" t="s">
        <v>976</v>
      </c>
    </row>
    <row r="29" ht="18" customHeight="1" spans="1:7">
      <c r="A29" t="s">
        <v>1052</v>
      </c>
      <c r="B29" t="s">
        <v>1034</v>
      </c>
      <c r="C29" t="s">
        <v>1053</v>
      </c>
      <c r="D29" t="s">
        <v>486</v>
      </c>
      <c r="E29" t="s">
        <v>80</v>
      </c>
      <c r="F29" t="s">
        <v>1054</v>
      </c>
      <c r="G29" t="s">
        <v>976</v>
      </c>
    </row>
    <row r="30" ht="18" customHeight="1" spans="1:7">
      <c r="A30" t="s">
        <v>1055</v>
      </c>
      <c r="B30" t="s">
        <v>1056</v>
      </c>
      <c r="C30" t="s">
        <v>1057</v>
      </c>
      <c r="D30" t="s">
        <v>460</v>
      </c>
      <c r="E30" t="s">
        <v>80</v>
      </c>
      <c r="F30" t="s">
        <v>1058</v>
      </c>
      <c r="G30" t="s">
        <v>976</v>
      </c>
    </row>
    <row r="31" ht="18" customHeight="1" spans="1:7">
      <c r="A31" t="s">
        <v>1059</v>
      </c>
      <c r="B31" t="s">
        <v>1056</v>
      </c>
      <c r="C31" t="s">
        <v>1060</v>
      </c>
      <c r="D31" t="s">
        <v>460</v>
      </c>
      <c r="E31" t="s">
        <v>80</v>
      </c>
      <c r="F31" t="s">
        <v>1061</v>
      </c>
      <c r="G31" t="s">
        <v>976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G28"/>
  <sheetViews>
    <sheetView workbookViewId="0">
      <pane ySplit="3" topLeftCell="A4" activePane="bottomLeft" state="frozen"/>
      <selection/>
      <selection pane="bottomLeft" activeCell="C32" sqref="C32"/>
    </sheetView>
  </sheetViews>
  <sheetFormatPr defaultColWidth="9" defaultRowHeight="13.5" outlineLevelCol="6"/>
  <cols>
    <col min="1" max="1" width="12" customWidth="1"/>
    <col min="2" max="2" width="88.5" customWidth="1"/>
    <col min="3" max="3" width="45.25" customWidth="1"/>
    <col min="4" max="6" width="32" customWidth="1"/>
    <col min="7" max="7" width="28" customWidth="1"/>
  </cols>
  <sheetData>
    <row r="1" ht="14.25" customHeight="1" spans="1:7">
      <c r="A1" s="19" t="s">
        <v>1062</v>
      </c>
    </row>
    <row r="2" spans="1:7">
      <c r="A2" s="20" t="s">
        <v>1063</v>
      </c>
    </row>
    <row r="4" spans="1:7">
      <c r="A4" s="22" t="s">
        <v>1064</v>
      </c>
      <c r="B4" s="23"/>
      <c r="C4" s="23"/>
      <c r="D4" s="23"/>
      <c r="E4" s="23"/>
      <c r="F4" s="23"/>
    </row>
    <row r="5" spans="1:7">
      <c r="A5" s="21" t="s">
        <v>1065</v>
      </c>
      <c r="B5" s="21" t="s">
        <v>1066</v>
      </c>
      <c r="C5" s="21" t="s">
        <v>1067</v>
      </c>
      <c r="D5" s="21" t="s">
        <v>1068</v>
      </c>
      <c r="E5" s="21" t="s">
        <v>1069</v>
      </c>
      <c r="F5" s="21" t="s">
        <v>6</v>
      </c>
      <c r="G5" t="s">
        <v>153</v>
      </c>
    </row>
    <row r="6" ht="17" customHeight="1" spans="1:7">
      <c r="A6" t="s">
        <v>1070</v>
      </c>
      <c r="B6" t="s">
        <v>1071</v>
      </c>
      <c r="C6" t="s">
        <v>1072</v>
      </c>
      <c r="D6" t="s">
        <v>1073</v>
      </c>
      <c r="E6" t="s">
        <v>1074</v>
      </c>
      <c r="F6" t="s">
        <v>1075</v>
      </c>
      <c r="G6" t="s">
        <v>1076</v>
      </c>
    </row>
    <row r="7" ht="17" customHeight="1" spans="1:7">
      <c r="A7" t="s">
        <v>1077</v>
      </c>
      <c r="B7" t="s">
        <v>1078</v>
      </c>
      <c r="C7" t="s">
        <v>1079</v>
      </c>
      <c r="D7" t="s">
        <v>1080</v>
      </c>
      <c r="E7" t="s">
        <v>1074</v>
      </c>
      <c r="G7" t="s">
        <v>1076</v>
      </c>
    </row>
    <row r="8" ht="17" customHeight="1" spans="1:7">
      <c r="A8" t="s">
        <v>1081</v>
      </c>
      <c r="B8" t="s">
        <v>529</v>
      </c>
      <c r="C8" t="s">
        <v>1082</v>
      </c>
      <c r="D8" t="s">
        <v>80</v>
      </c>
      <c r="E8" t="s">
        <v>1083</v>
      </c>
      <c r="G8" t="s">
        <v>1076</v>
      </c>
    </row>
    <row r="9" ht="17" customHeight="1" spans="1:7">
      <c r="A9" t="s">
        <v>1084</v>
      </c>
      <c r="B9" t="s">
        <v>1085</v>
      </c>
      <c r="C9" t="s">
        <v>1086</v>
      </c>
      <c r="D9" t="s">
        <v>80</v>
      </c>
      <c r="E9" t="s">
        <v>1083</v>
      </c>
      <c r="G9" t="s">
        <v>1076</v>
      </c>
    </row>
    <row r="10" ht="17" customHeight="1" spans="1:7">
      <c r="A10" t="s">
        <v>1087</v>
      </c>
      <c r="B10" t="s">
        <v>1088</v>
      </c>
      <c r="C10" t="s">
        <v>1089</v>
      </c>
      <c r="D10" t="s">
        <v>1090</v>
      </c>
      <c r="E10" t="s">
        <v>80</v>
      </c>
      <c r="F10" t="s">
        <v>243</v>
      </c>
      <c r="G10" t="s">
        <v>559</v>
      </c>
    </row>
    <row r="11" ht="17" customHeight="1" spans="1:7">
      <c r="A11" t="s">
        <v>1091</v>
      </c>
      <c r="B11" t="s">
        <v>1092</v>
      </c>
      <c r="C11" t="s">
        <v>1093</v>
      </c>
      <c r="D11" t="s">
        <v>1090</v>
      </c>
      <c r="E11" t="s">
        <v>80</v>
      </c>
      <c r="G11" t="s">
        <v>559</v>
      </c>
    </row>
    <row r="12" ht="17" customHeight="1" spans="1:7">
      <c r="A12" t="s">
        <v>1094</v>
      </c>
      <c r="B12" t="s">
        <v>1095</v>
      </c>
      <c r="C12" t="s">
        <v>1096</v>
      </c>
      <c r="D12" t="s">
        <v>1090</v>
      </c>
      <c r="E12" t="s">
        <v>80</v>
      </c>
      <c r="G12" t="s">
        <v>559</v>
      </c>
    </row>
    <row r="13" ht="17" customHeight="1" spans="1:7">
      <c r="A13" t="s">
        <v>1097</v>
      </c>
      <c r="B13" t="s">
        <v>1098</v>
      </c>
      <c r="C13" t="s">
        <v>1099</v>
      </c>
      <c r="D13" t="s">
        <v>1090</v>
      </c>
      <c r="E13" t="s">
        <v>80</v>
      </c>
      <c r="G13" t="s">
        <v>559</v>
      </c>
    </row>
    <row r="14" ht="17" customHeight="1" spans="1:7">
      <c r="A14" t="s">
        <v>1100</v>
      </c>
      <c r="B14" t="s">
        <v>865</v>
      </c>
      <c r="C14" t="s">
        <v>1101</v>
      </c>
      <c r="D14" t="s">
        <v>1102</v>
      </c>
      <c r="E14" t="s">
        <v>80</v>
      </c>
      <c r="F14" t="s">
        <v>1103</v>
      </c>
      <c r="G14" t="s">
        <v>559</v>
      </c>
    </row>
    <row r="15" ht="17" customHeight="1" spans="1:7">
      <c r="A15" t="s">
        <v>1104</v>
      </c>
      <c r="B15" t="s">
        <v>1105</v>
      </c>
      <c r="C15" t="s">
        <v>1082</v>
      </c>
      <c r="D15" t="s">
        <v>1106</v>
      </c>
      <c r="E15" t="s">
        <v>1107</v>
      </c>
      <c r="F15" t="s">
        <v>1108</v>
      </c>
      <c r="G15" t="s">
        <v>559</v>
      </c>
    </row>
    <row r="16" ht="17" customHeight="1" spans="1:7">
      <c r="A16" t="s">
        <v>1109</v>
      </c>
      <c r="B16" t="s">
        <v>1110</v>
      </c>
      <c r="C16" t="s">
        <v>1111</v>
      </c>
      <c r="D16" t="s">
        <v>1112</v>
      </c>
      <c r="E16" t="s">
        <v>1113</v>
      </c>
      <c r="F16" t="s">
        <v>1114</v>
      </c>
      <c r="G16" t="s">
        <v>559</v>
      </c>
    </row>
    <row r="17" ht="17" customHeight="1" spans="1:7">
      <c r="A17" t="s">
        <v>1115</v>
      </c>
      <c r="B17" t="s">
        <v>1116</v>
      </c>
      <c r="C17" t="s">
        <v>1082</v>
      </c>
      <c r="D17" t="s">
        <v>476</v>
      </c>
      <c r="E17" t="s">
        <v>1117</v>
      </c>
      <c r="G17" t="s">
        <v>559</v>
      </c>
    </row>
    <row r="18" ht="17" customHeight="1" spans="1:7">
      <c r="A18" t="s">
        <v>1118</v>
      </c>
      <c r="B18" t="s">
        <v>1119</v>
      </c>
      <c r="C18" t="s">
        <v>1120</v>
      </c>
      <c r="D18" t="s">
        <v>1121</v>
      </c>
      <c r="E18" t="s">
        <v>80</v>
      </c>
      <c r="F18" t="s">
        <v>1122</v>
      </c>
      <c r="G18" t="s">
        <v>559</v>
      </c>
    </row>
    <row r="19" ht="17" customHeight="1" spans="1:7">
      <c r="A19" t="s">
        <v>1123</v>
      </c>
      <c r="B19" t="s">
        <v>1124</v>
      </c>
      <c r="C19" t="s">
        <v>1125</v>
      </c>
      <c r="D19" t="s">
        <v>1126</v>
      </c>
      <c r="E19" t="s">
        <v>80</v>
      </c>
      <c r="F19" t="s">
        <v>1127</v>
      </c>
      <c r="G19" t="s">
        <v>559</v>
      </c>
    </row>
    <row r="21" spans="1:7">
      <c r="A21" s="22" t="s">
        <v>1128</v>
      </c>
      <c r="B21" s="23"/>
      <c r="C21" s="23"/>
      <c r="D21" s="23"/>
      <c r="E21" s="23"/>
      <c r="F21" s="23"/>
    </row>
    <row r="22" spans="1:7">
      <c r="A22" s="21" t="s">
        <v>1129</v>
      </c>
      <c r="B22" s="21" t="s">
        <v>1130</v>
      </c>
      <c r="C22" s="21" t="s">
        <v>1131</v>
      </c>
      <c r="D22" s="21" t="s">
        <v>1132</v>
      </c>
      <c r="E22" s="21" t="s">
        <v>6</v>
      </c>
      <c r="F22" s="21" t="s">
        <v>1133</v>
      </c>
      <c r="G22" s="21" t="s">
        <v>153</v>
      </c>
    </row>
    <row r="23" ht="21" customHeight="1" spans="1:7">
      <c r="A23" t="s">
        <v>1018</v>
      </c>
      <c r="B23" t="s">
        <v>1134</v>
      </c>
      <c r="C23" t="s">
        <v>1135</v>
      </c>
      <c r="D23" t="s">
        <v>554</v>
      </c>
      <c r="G23" t="s">
        <v>1136</v>
      </c>
    </row>
    <row r="24" ht="21" customHeight="1" spans="1:7">
      <c r="A24" t="s">
        <v>1117</v>
      </c>
      <c r="B24" t="s">
        <v>1137</v>
      </c>
      <c r="C24" t="s">
        <v>1138</v>
      </c>
      <c r="D24" t="s">
        <v>554</v>
      </c>
      <c r="G24" t="s">
        <v>1136</v>
      </c>
    </row>
    <row r="25" ht="21" customHeight="1" spans="1:7">
      <c r="A25" t="s">
        <v>1139</v>
      </c>
      <c r="B25" t="s">
        <v>1140</v>
      </c>
      <c r="C25" t="s">
        <v>1141</v>
      </c>
      <c r="D25" t="s">
        <v>554</v>
      </c>
      <c r="G25" t="s">
        <v>1136</v>
      </c>
    </row>
    <row r="26" ht="21" customHeight="1" spans="1:7">
      <c r="A26" t="s">
        <v>1142</v>
      </c>
      <c r="B26" t="s">
        <v>1143</v>
      </c>
      <c r="C26" t="s">
        <v>1144</v>
      </c>
      <c r="D26" t="s">
        <v>554</v>
      </c>
      <c r="G26" t="s">
        <v>1136</v>
      </c>
    </row>
    <row r="27" ht="21" customHeight="1" spans="1:7">
      <c r="A27" t="s">
        <v>1145</v>
      </c>
      <c r="B27" t="s">
        <v>1146</v>
      </c>
      <c r="C27" t="s">
        <v>1147</v>
      </c>
      <c r="D27" t="s">
        <v>554</v>
      </c>
      <c r="G27" t="s">
        <v>1136</v>
      </c>
    </row>
    <row r="28" ht="21" customHeight="1" spans="1:7">
      <c r="A28" t="s">
        <v>1148</v>
      </c>
      <c r="B28" t="s">
        <v>1149</v>
      </c>
      <c r="C28" t="s">
        <v>1150</v>
      </c>
      <c r="D28" t="s">
        <v>554</v>
      </c>
      <c r="G28" t="s">
        <v>1136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F44"/>
  <sheetViews>
    <sheetView workbookViewId="0">
      <pane ySplit="3" topLeftCell="A4" activePane="bottomLeft" state="frozen"/>
      <selection/>
      <selection pane="bottomLeft" activeCell="B10" sqref="B10"/>
    </sheetView>
  </sheetViews>
  <sheetFormatPr defaultColWidth="9" defaultRowHeight="13.5" outlineLevelCol="5"/>
  <cols>
    <col min="1" max="1" width="14" customWidth="1"/>
    <col min="2" max="2" width="146.375" customWidth="1"/>
    <col min="3" max="3" width="50.375" customWidth="1"/>
    <col min="4" max="4" width="42.75" customWidth="1"/>
    <col min="5" max="5" width="59.125" customWidth="1"/>
    <col min="6" max="6" width="36" customWidth="1"/>
  </cols>
  <sheetData>
    <row r="1" ht="14.25" customHeight="1" spans="1:6">
      <c r="A1" s="19" t="s">
        <v>1151</v>
      </c>
    </row>
    <row r="2" spans="1:6">
      <c r="A2" s="20" t="s">
        <v>1152</v>
      </c>
    </row>
    <row r="4" spans="1:6">
      <c r="A4" s="22" t="s">
        <v>1153</v>
      </c>
      <c r="B4" s="23"/>
      <c r="C4" s="23"/>
      <c r="D4" s="23"/>
      <c r="E4" s="23"/>
    </row>
    <row r="5" spans="1:6">
      <c r="A5" s="21" t="s">
        <v>1154</v>
      </c>
      <c r="B5" s="21" t="s">
        <v>1155</v>
      </c>
      <c r="C5" s="21" t="s">
        <v>1156</v>
      </c>
      <c r="D5" s="21" t="s">
        <v>1157</v>
      </c>
      <c r="E5" s="21" t="s">
        <v>6</v>
      </c>
      <c r="F5" s="21" t="s">
        <v>153</v>
      </c>
    </row>
    <row r="6" spans="1:6">
      <c r="A6" t="s">
        <v>1158</v>
      </c>
      <c r="B6" t="s">
        <v>1159</v>
      </c>
      <c r="C6" t="s">
        <v>1160</v>
      </c>
      <c r="D6" t="s">
        <v>1161</v>
      </c>
      <c r="F6" t="s">
        <v>1162</v>
      </c>
    </row>
    <row r="7" spans="1:6">
      <c r="A7" t="s">
        <v>1163</v>
      </c>
      <c r="B7" t="s">
        <v>1164</v>
      </c>
      <c r="C7" t="s">
        <v>1165</v>
      </c>
      <c r="D7" t="s">
        <v>1166</v>
      </c>
      <c r="F7" t="s">
        <v>1162</v>
      </c>
    </row>
    <row r="8" spans="1:6">
      <c r="A8" t="s">
        <v>1167</v>
      </c>
      <c r="B8" t="s">
        <v>1168</v>
      </c>
      <c r="C8" t="s">
        <v>1165</v>
      </c>
      <c r="D8" t="s">
        <v>1169</v>
      </c>
      <c r="F8" t="s">
        <v>1162</v>
      </c>
    </row>
    <row r="9" spans="1:6">
      <c r="A9" t="s">
        <v>1170</v>
      </c>
      <c r="B9" t="s">
        <v>1171</v>
      </c>
      <c r="C9" t="s">
        <v>1160</v>
      </c>
      <c r="D9" t="s">
        <v>1172</v>
      </c>
      <c r="F9" t="s">
        <v>1162</v>
      </c>
    </row>
    <row r="10" spans="1:6">
      <c r="A10" t="s">
        <v>1173</v>
      </c>
      <c r="B10" t="s">
        <v>1174</v>
      </c>
      <c r="C10" t="s">
        <v>1165</v>
      </c>
      <c r="D10" t="s">
        <v>1175</v>
      </c>
      <c r="F10" t="s">
        <v>1162</v>
      </c>
    </row>
    <row r="11" spans="1:6">
      <c r="A11" t="s">
        <v>1176</v>
      </c>
      <c r="B11" t="s">
        <v>1177</v>
      </c>
      <c r="C11" t="s">
        <v>1160</v>
      </c>
      <c r="D11" t="s">
        <v>1178</v>
      </c>
      <c r="F11" t="s">
        <v>1162</v>
      </c>
    </row>
    <row r="12" spans="1:6">
      <c r="A12" t="s">
        <v>1179</v>
      </c>
      <c r="B12" t="s">
        <v>1180</v>
      </c>
      <c r="C12" t="s">
        <v>1181</v>
      </c>
      <c r="D12" t="s">
        <v>1182</v>
      </c>
      <c r="F12" t="s">
        <v>1183</v>
      </c>
    </row>
    <row r="13" spans="1:6">
      <c r="A13" t="s">
        <v>1184</v>
      </c>
      <c r="B13" t="s">
        <v>1185</v>
      </c>
      <c r="C13" t="s">
        <v>1186</v>
      </c>
      <c r="D13" t="s">
        <v>1187</v>
      </c>
      <c r="F13" t="s">
        <v>1188</v>
      </c>
    </row>
    <row r="15" spans="1:6">
      <c r="A15" s="22" t="s">
        <v>1189</v>
      </c>
      <c r="B15" s="23"/>
      <c r="C15" s="23"/>
      <c r="D15" s="23"/>
      <c r="E15" s="23"/>
    </row>
    <row r="16" spans="1:6">
      <c r="A16" s="21" t="s">
        <v>1190</v>
      </c>
      <c r="B16" s="21" t="s">
        <v>918</v>
      </c>
      <c r="C16" s="21" t="s">
        <v>865</v>
      </c>
      <c r="D16" s="21" t="s">
        <v>1191</v>
      </c>
      <c r="E16" s="21" t="s">
        <v>6</v>
      </c>
      <c r="F16" s="21" t="s">
        <v>153</v>
      </c>
    </row>
    <row r="17" spans="1:6">
      <c r="A17" t="s">
        <v>1192</v>
      </c>
      <c r="B17" t="s">
        <v>1193</v>
      </c>
      <c r="C17" t="s">
        <v>1194</v>
      </c>
      <c r="D17" t="s">
        <v>80</v>
      </c>
      <c r="F17" t="s">
        <v>1195</v>
      </c>
    </row>
    <row r="18" spans="1:6">
      <c r="A18" t="s">
        <v>1196</v>
      </c>
      <c r="B18" t="s">
        <v>1193</v>
      </c>
      <c r="C18" t="s">
        <v>1194</v>
      </c>
      <c r="D18" t="s">
        <v>80</v>
      </c>
      <c r="F18" t="s">
        <v>1195</v>
      </c>
    </row>
    <row r="19" spans="1:6">
      <c r="A19" t="s">
        <v>1197</v>
      </c>
      <c r="B19" t="s">
        <v>1198</v>
      </c>
      <c r="C19" t="s">
        <v>1199</v>
      </c>
      <c r="D19" t="s">
        <v>1200</v>
      </c>
      <c r="E19" t="s">
        <v>1201</v>
      </c>
      <c r="F19" t="s">
        <v>1202</v>
      </c>
    </row>
    <row r="20" spans="1:6">
      <c r="A20" t="s">
        <v>1203</v>
      </c>
      <c r="B20" t="s">
        <v>1193</v>
      </c>
      <c r="C20" t="s">
        <v>1194</v>
      </c>
      <c r="D20" t="s">
        <v>80</v>
      </c>
      <c r="E20" t="s">
        <v>1204</v>
      </c>
      <c r="F20" t="s">
        <v>1195</v>
      </c>
    </row>
    <row r="21" spans="1:6">
      <c r="A21" t="s">
        <v>1205</v>
      </c>
      <c r="B21" t="s">
        <v>1193</v>
      </c>
      <c r="C21" t="s">
        <v>1194</v>
      </c>
      <c r="D21" t="s">
        <v>80</v>
      </c>
      <c r="F21" t="s">
        <v>1195</v>
      </c>
    </row>
    <row r="22" spans="1:6">
      <c r="A22" t="s">
        <v>1206</v>
      </c>
      <c r="B22" t="s">
        <v>1193</v>
      </c>
      <c r="C22" t="s">
        <v>1194</v>
      </c>
      <c r="D22" t="s">
        <v>80</v>
      </c>
      <c r="F22" t="s">
        <v>1195</v>
      </c>
    </row>
    <row r="23" spans="1:6">
      <c r="A23" t="s">
        <v>1207</v>
      </c>
      <c r="B23" t="s">
        <v>1208</v>
      </c>
      <c r="C23" t="s">
        <v>1209</v>
      </c>
      <c r="D23" t="s">
        <v>1210</v>
      </c>
      <c r="E23" t="s">
        <v>1211</v>
      </c>
      <c r="F23" t="s">
        <v>1212</v>
      </c>
    </row>
    <row r="25" spans="1:6">
      <c r="A25" s="22" t="s">
        <v>1213</v>
      </c>
      <c r="B25" s="23"/>
      <c r="C25" s="23"/>
      <c r="D25" s="23"/>
      <c r="E25" s="23"/>
      <c r="F25" s="21" t="s">
        <v>153</v>
      </c>
    </row>
    <row r="26" spans="1:6">
      <c r="A26" t="s">
        <v>1214</v>
      </c>
      <c r="B26" t="s">
        <v>1215</v>
      </c>
      <c r="E26" t="s">
        <v>1216</v>
      </c>
      <c r="F26" t="s">
        <v>1217</v>
      </c>
    </row>
    <row r="27" spans="1:6">
      <c r="A27" t="s">
        <v>1218</v>
      </c>
      <c r="B27" t="s">
        <v>1219</v>
      </c>
      <c r="E27" t="s">
        <v>1220</v>
      </c>
      <c r="F27" t="s">
        <v>1217</v>
      </c>
    </row>
    <row r="29" spans="1:6">
      <c r="A29" s="22" t="s">
        <v>1221</v>
      </c>
      <c r="B29" s="23"/>
      <c r="C29" s="23"/>
      <c r="D29" s="23"/>
      <c r="E29" s="23"/>
    </row>
    <row r="30" spans="1:6">
      <c r="A30" s="21" t="s">
        <v>1222</v>
      </c>
      <c r="B30" s="21" t="s">
        <v>804</v>
      </c>
      <c r="C30" s="21" t="s">
        <v>865</v>
      </c>
      <c r="D30" s="21" t="s">
        <v>1223</v>
      </c>
      <c r="E30" s="21" t="s">
        <v>6</v>
      </c>
      <c r="F30" s="21" t="s">
        <v>153</v>
      </c>
    </row>
    <row r="31" spans="1:6">
      <c r="A31" t="s">
        <v>1224</v>
      </c>
      <c r="B31" t="s">
        <v>1225</v>
      </c>
      <c r="C31" t="s">
        <v>1226</v>
      </c>
      <c r="D31" t="s">
        <v>1227</v>
      </c>
      <c r="E31" t="s">
        <v>1228</v>
      </c>
      <c r="F31" t="s">
        <v>1226</v>
      </c>
    </row>
    <row r="32" spans="1:6">
      <c r="A32" t="s">
        <v>1229</v>
      </c>
      <c r="B32" t="s">
        <v>1230</v>
      </c>
      <c r="C32" t="s">
        <v>1231</v>
      </c>
      <c r="D32" t="s">
        <v>1232</v>
      </c>
      <c r="E32" t="s">
        <v>1233</v>
      </c>
      <c r="F32" t="s">
        <v>1226</v>
      </c>
    </row>
    <row r="33" spans="1:6">
      <c r="A33" t="s">
        <v>1234</v>
      </c>
      <c r="B33" t="s">
        <v>1235</v>
      </c>
      <c r="C33" t="s">
        <v>1236</v>
      </c>
      <c r="D33" t="s">
        <v>1237</v>
      </c>
      <c r="E33" t="s">
        <v>1238</v>
      </c>
      <c r="F33" t="s">
        <v>1236</v>
      </c>
    </row>
    <row r="34" spans="1:6">
      <c r="A34" t="s">
        <v>1239</v>
      </c>
      <c r="B34" t="s">
        <v>1240</v>
      </c>
      <c r="C34" t="s">
        <v>1241</v>
      </c>
      <c r="D34" t="s">
        <v>1242</v>
      </c>
      <c r="E34" t="s">
        <v>1243</v>
      </c>
      <c r="F34" t="s">
        <v>1241</v>
      </c>
    </row>
    <row r="35" spans="1:6">
      <c r="A35" t="s">
        <v>1244</v>
      </c>
      <c r="B35" t="s">
        <v>1245</v>
      </c>
      <c r="C35" t="s">
        <v>1241</v>
      </c>
      <c r="D35" t="s">
        <v>1246</v>
      </c>
      <c r="E35" t="s">
        <v>1247</v>
      </c>
      <c r="F35" t="s">
        <v>1241</v>
      </c>
    </row>
    <row r="36" spans="1:6">
      <c r="A36" t="s">
        <v>1248</v>
      </c>
      <c r="B36" t="s">
        <v>1249</v>
      </c>
      <c r="C36" t="s">
        <v>1241</v>
      </c>
      <c r="D36" t="s">
        <v>1250</v>
      </c>
      <c r="E36" t="s">
        <v>1251</v>
      </c>
      <c r="F36" t="s">
        <v>1241</v>
      </c>
    </row>
    <row r="37" spans="1:6">
      <c r="A37" t="s">
        <v>1252</v>
      </c>
      <c r="B37" t="s">
        <v>1253</v>
      </c>
      <c r="C37" t="s">
        <v>1254</v>
      </c>
      <c r="D37" t="s">
        <v>1255</v>
      </c>
      <c r="E37" t="s">
        <v>1256</v>
      </c>
      <c r="F37" t="s">
        <v>1254</v>
      </c>
    </row>
    <row r="39" spans="1:6">
      <c r="A39" s="22" t="s">
        <v>1257</v>
      </c>
      <c r="B39" s="23"/>
      <c r="C39" s="23"/>
      <c r="D39" s="23"/>
      <c r="E39" s="23"/>
      <c r="F39" s="21" t="s">
        <v>153</v>
      </c>
    </row>
    <row r="40" spans="1:6">
      <c r="A40" t="s">
        <v>1258</v>
      </c>
      <c r="B40" t="s">
        <v>1259</v>
      </c>
      <c r="C40" t="s">
        <v>1260</v>
      </c>
      <c r="F40" t="s">
        <v>1261</v>
      </c>
    </row>
    <row r="41" spans="1:6">
      <c r="A41" t="s">
        <v>1262</v>
      </c>
      <c r="B41" t="s">
        <v>1263</v>
      </c>
      <c r="F41" t="s">
        <v>1264</v>
      </c>
    </row>
    <row r="42" spans="1:6">
      <c r="A42" t="s">
        <v>1265</v>
      </c>
      <c r="B42" t="s">
        <v>1266</v>
      </c>
      <c r="C42" t="s">
        <v>1267</v>
      </c>
      <c r="F42" t="s">
        <v>1264</v>
      </c>
    </row>
    <row r="43" spans="1:6">
      <c r="A43" t="s">
        <v>1268</v>
      </c>
      <c r="B43" t="s">
        <v>1269</v>
      </c>
      <c r="F43" t="s">
        <v>1264</v>
      </c>
    </row>
    <row r="44" spans="1:6">
      <c r="A44" t="s">
        <v>1270</v>
      </c>
      <c r="B44" t="s">
        <v>1271</v>
      </c>
      <c r="C44" t="s">
        <v>1272</v>
      </c>
      <c r="F44" t="s">
        <v>1273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C8A"/>
  </sheetPr>
  <dimension ref="A1:D38"/>
  <sheetViews>
    <sheetView workbookViewId="0">
      <pane ySplit="3" topLeftCell="A4" activePane="bottomLeft" state="frozen"/>
      <selection/>
      <selection pane="bottomLeft" activeCell="B31" sqref="B31"/>
    </sheetView>
  </sheetViews>
  <sheetFormatPr defaultColWidth="9" defaultRowHeight="13.5" outlineLevelCol="3"/>
  <cols>
    <col min="1" max="1" width="14" customWidth="1"/>
    <col min="2" max="2" width="77.125" customWidth="1"/>
    <col min="3" max="3" width="26.625" customWidth="1"/>
    <col min="4" max="4" width="22" customWidth="1"/>
  </cols>
  <sheetData>
    <row r="1" ht="14.25" customHeight="1" spans="1:4">
      <c r="A1" s="19" t="s">
        <v>1274</v>
      </c>
    </row>
    <row r="2" spans="1:4">
      <c r="A2" s="20" t="s">
        <v>1275</v>
      </c>
    </row>
    <row r="3" spans="1:4">
      <c r="A3" s="21" t="s">
        <v>2</v>
      </c>
      <c r="B3" s="21" t="s">
        <v>1276</v>
      </c>
      <c r="C3" s="21" t="s">
        <v>1277</v>
      </c>
      <c r="D3" s="21" t="s">
        <v>153</v>
      </c>
    </row>
    <row r="4" spans="1:4">
      <c r="A4" t="s">
        <v>12</v>
      </c>
      <c r="B4" t="s">
        <v>14</v>
      </c>
      <c r="C4" t="s">
        <v>1278</v>
      </c>
      <c r="D4" t="s">
        <v>1279</v>
      </c>
    </row>
    <row r="5" spans="1:4">
      <c r="A5" t="s">
        <v>16</v>
      </c>
      <c r="B5" t="s">
        <v>18</v>
      </c>
      <c r="C5" t="s">
        <v>1280</v>
      </c>
      <c r="D5" t="s">
        <v>1279</v>
      </c>
    </row>
    <row r="6" spans="1:4">
      <c r="A6" t="s">
        <v>20</v>
      </c>
      <c r="B6" t="s">
        <v>22</v>
      </c>
      <c r="C6" t="s">
        <v>1281</v>
      </c>
      <c r="D6" t="s">
        <v>1279</v>
      </c>
    </row>
    <row r="7" spans="1:4">
      <c r="A7" t="s">
        <v>1282</v>
      </c>
      <c r="B7" t="s">
        <v>1283</v>
      </c>
      <c r="C7" t="s">
        <v>1284</v>
      </c>
      <c r="D7" t="s">
        <v>1279</v>
      </c>
    </row>
    <row r="8" spans="1:4">
      <c r="A8" t="s">
        <v>24</v>
      </c>
      <c r="B8" t="s">
        <v>26</v>
      </c>
      <c r="C8" t="s">
        <v>1285</v>
      </c>
      <c r="D8" t="s">
        <v>1279</v>
      </c>
    </row>
    <row r="9" spans="1:4">
      <c r="A9" t="s">
        <v>28</v>
      </c>
      <c r="B9" t="s">
        <v>30</v>
      </c>
      <c r="C9" t="s">
        <v>1286</v>
      </c>
      <c r="D9" t="s">
        <v>1279</v>
      </c>
    </row>
    <row r="10" spans="1:4">
      <c r="A10" t="s">
        <v>1287</v>
      </c>
      <c r="B10" t="s">
        <v>1288</v>
      </c>
      <c r="C10" t="s">
        <v>80</v>
      </c>
      <c r="D10" t="s">
        <v>1279</v>
      </c>
    </row>
    <row r="11" spans="1:4">
      <c r="A11" t="s">
        <v>32</v>
      </c>
      <c r="B11" t="s">
        <v>34</v>
      </c>
      <c r="C11" t="s">
        <v>1289</v>
      </c>
      <c r="D11" t="s">
        <v>1279</v>
      </c>
    </row>
    <row r="12" spans="1:4">
      <c r="A12" t="s">
        <v>36</v>
      </c>
      <c r="B12" t="s">
        <v>38</v>
      </c>
      <c r="C12" t="s">
        <v>1290</v>
      </c>
      <c r="D12" t="s">
        <v>1279</v>
      </c>
    </row>
    <row r="13" spans="1:4">
      <c r="A13" t="s">
        <v>40</v>
      </c>
      <c r="B13" t="s">
        <v>42</v>
      </c>
      <c r="C13" t="s">
        <v>1291</v>
      </c>
      <c r="D13" t="s">
        <v>1279</v>
      </c>
    </row>
    <row r="14" spans="1:4">
      <c r="A14" t="s">
        <v>1292</v>
      </c>
      <c r="B14" t="s">
        <v>1293</v>
      </c>
      <c r="C14" t="s">
        <v>80</v>
      </c>
      <c r="D14" t="s">
        <v>1279</v>
      </c>
    </row>
    <row r="15" spans="1:4">
      <c r="A15" t="s">
        <v>44</v>
      </c>
      <c r="B15" t="s">
        <v>46</v>
      </c>
      <c r="C15" t="s">
        <v>1294</v>
      </c>
      <c r="D15" t="s">
        <v>1279</v>
      </c>
    </row>
    <row r="16" spans="1:4">
      <c r="A16" t="s">
        <v>48</v>
      </c>
      <c r="B16" t="s">
        <v>50</v>
      </c>
      <c r="C16" t="s">
        <v>1295</v>
      </c>
      <c r="D16" t="s">
        <v>1279</v>
      </c>
    </row>
    <row r="17" spans="1:4">
      <c r="A17" t="s">
        <v>1296</v>
      </c>
      <c r="B17" t="s">
        <v>1297</v>
      </c>
      <c r="C17" t="s">
        <v>80</v>
      </c>
      <c r="D17" t="s">
        <v>1279</v>
      </c>
    </row>
    <row r="18" spans="1:4">
      <c r="A18" t="s">
        <v>1298</v>
      </c>
      <c r="B18" t="s">
        <v>1299</v>
      </c>
      <c r="C18" t="s">
        <v>80</v>
      </c>
      <c r="D18" t="s">
        <v>1279</v>
      </c>
    </row>
    <row r="19" spans="1:4">
      <c r="A19" t="s">
        <v>52</v>
      </c>
      <c r="B19" t="s">
        <v>54</v>
      </c>
      <c r="C19" t="s">
        <v>1300</v>
      </c>
      <c r="D19" t="s">
        <v>1279</v>
      </c>
    </row>
    <row r="20" spans="1:4">
      <c r="A20" t="s">
        <v>56</v>
      </c>
      <c r="B20" t="s">
        <v>58</v>
      </c>
      <c r="C20" t="s">
        <v>1301</v>
      </c>
      <c r="D20" t="s">
        <v>1279</v>
      </c>
    </row>
    <row r="21" spans="1:4">
      <c r="A21" t="s">
        <v>1302</v>
      </c>
      <c r="B21" t="s">
        <v>1303</v>
      </c>
      <c r="C21" t="s">
        <v>1304</v>
      </c>
      <c r="D21" t="s">
        <v>1279</v>
      </c>
    </row>
    <row r="22" spans="1:4">
      <c r="A22" t="s">
        <v>61</v>
      </c>
      <c r="B22" t="s">
        <v>63</v>
      </c>
      <c r="C22" t="s">
        <v>1305</v>
      </c>
      <c r="D22" t="s">
        <v>1279</v>
      </c>
    </row>
    <row r="23" spans="1:4">
      <c r="A23" t="s">
        <v>1306</v>
      </c>
      <c r="B23" t="s">
        <v>1307</v>
      </c>
      <c r="C23" t="s">
        <v>80</v>
      </c>
      <c r="D23" t="s">
        <v>1279</v>
      </c>
    </row>
    <row r="24" spans="1:4">
      <c r="A24" t="s">
        <v>1308</v>
      </c>
      <c r="B24" t="s">
        <v>1309</v>
      </c>
      <c r="C24" t="s">
        <v>80</v>
      </c>
      <c r="D24" t="s">
        <v>1279</v>
      </c>
    </row>
    <row r="25" spans="1:4">
      <c r="A25" t="s">
        <v>1310</v>
      </c>
      <c r="B25" t="s">
        <v>1311</v>
      </c>
      <c r="C25" t="s">
        <v>80</v>
      </c>
      <c r="D25" t="s">
        <v>1279</v>
      </c>
    </row>
    <row r="26" spans="1:4">
      <c r="A26" t="s">
        <v>1312</v>
      </c>
      <c r="B26" t="s">
        <v>1313</v>
      </c>
      <c r="C26" t="s">
        <v>80</v>
      </c>
      <c r="D26" t="s">
        <v>1279</v>
      </c>
    </row>
    <row r="27" spans="1:4">
      <c r="A27" t="s">
        <v>65</v>
      </c>
      <c r="B27" t="s">
        <v>67</v>
      </c>
      <c r="C27" t="s">
        <v>1314</v>
      </c>
      <c r="D27" t="s">
        <v>1279</v>
      </c>
    </row>
    <row r="28" spans="1:4">
      <c r="A28" t="s">
        <v>77</v>
      </c>
      <c r="B28" t="s">
        <v>78</v>
      </c>
      <c r="C28" t="s">
        <v>1315</v>
      </c>
      <c r="D28" t="s">
        <v>1279</v>
      </c>
    </row>
    <row r="29" spans="1:4">
      <c r="A29" t="s">
        <v>74</v>
      </c>
      <c r="B29" t="s">
        <v>75</v>
      </c>
      <c r="C29" t="s">
        <v>1316</v>
      </c>
      <c r="D29" t="s">
        <v>1279</v>
      </c>
    </row>
    <row r="30" spans="1:4">
      <c r="A30" t="s">
        <v>7</v>
      </c>
      <c r="B30" t="s">
        <v>9</v>
      </c>
      <c r="C30" t="s">
        <v>1317</v>
      </c>
      <c r="D30" t="s">
        <v>1279</v>
      </c>
    </row>
    <row r="31" spans="1:4">
      <c r="A31" t="s">
        <v>69</v>
      </c>
      <c r="B31" t="s">
        <v>70</v>
      </c>
      <c r="C31" t="s">
        <v>1318</v>
      </c>
      <c r="D31" t="s">
        <v>1319</v>
      </c>
    </row>
    <row r="32" spans="1:4">
      <c r="A32" t="s">
        <v>69</v>
      </c>
      <c r="B32" t="s">
        <v>1320</v>
      </c>
      <c r="C32" t="s">
        <v>80</v>
      </c>
      <c r="D32" t="s">
        <v>1319</v>
      </c>
    </row>
    <row r="33" spans="1:4">
      <c r="A33" t="s">
        <v>69</v>
      </c>
      <c r="B33" t="s">
        <v>1321</v>
      </c>
      <c r="C33" t="s">
        <v>80</v>
      </c>
      <c r="D33" t="s">
        <v>1319</v>
      </c>
    </row>
    <row r="34" spans="1:4">
      <c r="A34" t="s">
        <v>69</v>
      </c>
      <c r="B34" t="s">
        <v>72</v>
      </c>
      <c r="C34" t="s">
        <v>1322</v>
      </c>
      <c r="D34" t="s">
        <v>1319</v>
      </c>
    </row>
    <row r="35" spans="1:4">
      <c r="A35" t="s">
        <v>69</v>
      </c>
      <c r="B35" t="s">
        <v>1323</v>
      </c>
      <c r="C35" t="s">
        <v>80</v>
      </c>
      <c r="D35" t="s">
        <v>1319</v>
      </c>
    </row>
    <row r="36" spans="1:4">
      <c r="A36" t="s">
        <v>69</v>
      </c>
      <c r="B36" t="s">
        <v>1324</v>
      </c>
      <c r="C36" t="s">
        <v>80</v>
      </c>
      <c r="D36" t="s">
        <v>1319</v>
      </c>
    </row>
    <row r="37" spans="1:4">
      <c r="A37" t="s">
        <v>69</v>
      </c>
      <c r="B37" t="s">
        <v>1325</v>
      </c>
      <c r="C37" t="s">
        <v>80</v>
      </c>
      <c r="D37" t="s">
        <v>1319</v>
      </c>
    </row>
    <row r="38" spans="1:4">
      <c r="A38" t="s">
        <v>69</v>
      </c>
      <c r="B38" t="s">
        <v>1326</v>
      </c>
      <c r="C38" t="s">
        <v>1327</v>
      </c>
      <c r="D38" t="s">
        <v>1319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BK64"/>
  <sheetViews>
    <sheetView workbookViewId="0">
      <pane xSplit="1" ySplit="3" topLeftCell="B24" activePane="bottomRight" state="frozen"/>
      <selection/>
      <selection pane="topRight"/>
      <selection pane="bottomLeft"/>
      <selection pane="bottomRight" activeCell="K67" sqref="K67"/>
    </sheetView>
  </sheetViews>
  <sheetFormatPr defaultColWidth="9" defaultRowHeight="13.5"/>
  <cols>
    <col min="1" max="1" width="14" customWidth="1"/>
    <col min="2" max="31" width="6.5" customWidth="1"/>
    <col min="32" max="61" width="2" customWidth="1"/>
    <col min="62" max="62" width="8" customWidth="1"/>
    <col min="63" max="63" width="16" customWidth="1"/>
  </cols>
  <sheetData>
    <row r="1" ht="26" customHeight="1" spans="1:63">
      <c r="A1" s="1" t="s">
        <v>1328</v>
      </c>
    </row>
    <row r="2" ht="22" customHeight="1" spans="1:63">
      <c r="A2" s="2" t="s">
        <v>1329</v>
      </c>
    </row>
    <row r="3" ht="26" customHeight="1" spans="1:63">
      <c r="A3" s="3" t="s">
        <v>1330</v>
      </c>
      <c r="B3" s="15" t="str">
        <f>IF('3.機能一覧'!A4="","",'3.機能一覧'!A4)</f>
        <v>F-01</v>
      </c>
      <c r="C3" s="15" t="str">
        <f>IF('3.機能一覧'!A5="","",'3.機能一覧'!A5)</f>
        <v>F-02</v>
      </c>
      <c r="D3" s="15" t="str">
        <f>IF('3.機能一覧'!A6="","",'3.機能一覧'!A6)</f>
        <v>F-03</v>
      </c>
      <c r="E3" s="15" t="str">
        <f>IF('3.機能一覧'!A7="","",'3.機能一覧'!A7)</f>
        <v>F-04</v>
      </c>
      <c r="F3" s="15" t="str">
        <f>IF('3.機能一覧'!A8="","",'3.機能一覧'!A8)</f>
        <v>F-05</v>
      </c>
      <c r="G3" s="15" t="str">
        <f>IF('3.機能一覧'!A9="","",'3.機能一覧'!A9)</f>
        <v>F-06</v>
      </c>
      <c r="H3" s="15" t="str">
        <f>IF('3.機能一覧'!A10="","",'3.機能一覧'!A10)</f>
        <v>F-07</v>
      </c>
      <c r="I3" s="15" t="str">
        <f>IF('3.機能一覧'!A11="","",'3.機能一覧'!A11)</f>
        <v>F-08</v>
      </c>
      <c r="J3" s="15" t="str">
        <f>IF('3.機能一覧'!A12="","",'3.機能一覧'!A12)</f>
        <v>F-09</v>
      </c>
      <c r="K3" s="15" t="str">
        <f>IF('3.機能一覧'!A13="","",'3.機能一覧'!A13)</f>
        <v>F-10</v>
      </c>
      <c r="L3" s="15" t="str">
        <f>IF('3.機能一覧'!A14="","",'3.機能一覧'!A14)</f>
        <v>F-11</v>
      </c>
      <c r="M3" s="15" t="str">
        <f>IF('3.機能一覧'!A15="","",'3.機能一覧'!A15)</f>
        <v>F-12</v>
      </c>
      <c r="N3" s="15" t="str">
        <f>IF('3.機能一覧'!A16="","",'3.機能一覧'!A16)</f>
        <v>F-13</v>
      </c>
      <c r="O3" s="15" t="str">
        <f>IF('3.機能一覧'!A17="","",'3.機能一覧'!A17)</f>
        <v>F-14</v>
      </c>
      <c r="P3" s="15" t="str">
        <f>IF('3.機能一覧'!A18="","",'3.機能一覧'!A18)</f>
        <v>F-15</v>
      </c>
      <c r="Q3" s="15" t="str">
        <f>IF('3.機能一覧'!A19="","",'3.機能一覧'!A19)</f>
        <v>F-20</v>
      </c>
      <c r="R3" s="15" t="str">
        <f>IF('3.機能一覧'!A20="","",'3.機能一覧'!A20)</f>
        <v>F-21</v>
      </c>
      <c r="S3" s="15" t="str">
        <f>IF('3.機能一覧'!A21="","",'3.機能一覧'!A21)</f>
        <v>F-22</v>
      </c>
      <c r="T3" s="15" t="str">
        <f>IF('3.機能一覧'!A22="","",'3.機能一覧'!A22)</f>
        <v>F-23</v>
      </c>
      <c r="U3" s="15" t="str">
        <f>IF('3.機能一覧'!A23="","",'3.機能一覧'!A23)</f>
        <v>F-24</v>
      </c>
      <c r="V3" s="15" t="str">
        <f>IF('3.機能一覧'!A24="","",'3.機能一覧'!A24)</f>
        <v>F-25</v>
      </c>
      <c r="W3" s="15" t="str">
        <f>IF('3.機能一覧'!A25="","",'3.機能一覧'!A25)</f>
        <v>F-26</v>
      </c>
      <c r="X3" s="15" t="str">
        <f>IF('3.機能一覧'!A26="","",'3.機能一覧'!A26)</f>
        <v>F-30</v>
      </c>
      <c r="Y3" s="15" t="str">
        <f>IF('3.機能一覧'!A27="","",'3.機能一覧'!A27)</f>
        <v>F-31</v>
      </c>
      <c r="Z3" s="15" t="str">
        <f>IF('3.機能一覧'!A28="","",'3.機能一覧'!A28)</f>
        <v>F-32</v>
      </c>
      <c r="AA3" s="15" t="str">
        <f>IF('3.機能一覧'!A29="","",'3.機能一覧'!A29)</f>
        <v>F-33</v>
      </c>
      <c r="AB3" s="15" t="str">
        <f>IF('3.機能一覧'!A30="","",'3.機能一覧'!A30)</f>
        <v/>
      </c>
      <c r="AC3" s="15" t="str">
        <f>IF('3.機能一覧'!A31="","",'3.機能一覧'!A31)</f>
        <v/>
      </c>
      <c r="AD3" s="15" t="str">
        <f>IF('3.機能一覧'!A32="","",'3.機能一覧'!A32)</f>
        <v/>
      </c>
      <c r="AE3" s="15" t="str">
        <f>IF('3.機能一覧'!A33="","",'3.機能一覧'!A33)</f>
        <v/>
      </c>
      <c r="AF3" s="15" t="str">
        <f>IF('3.機能一覧'!A34="","",'3.機能一覧'!A34)</f>
        <v/>
      </c>
      <c r="AG3" s="15" t="str">
        <f>IF('3.機能一覧'!A35="","",'3.機能一覧'!A35)</f>
        <v/>
      </c>
      <c r="AH3" s="15" t="str">
        <f>IF('3.機能一覧'!A36="","",'3.機能一覧'!A36)</f>
        <v/>
      </c>
      <c r="AI3" s="15" t="str">
        <f>IF('3.機能一覧'!A37="","",'3.機能一覧'!A37)</f>
        <v/>
      </c>
      <c r="AJ3" s="15" t="str">
        <f>IF('3.機能一覧'!A38="","",'3.機能一覧'!A38)</f>
        <v/>
      </c>
      <c r="AK3" s="15" t="str">
        <f>IF('3.機能一覧'!A39="","",'3.機能一覧'!A39)</f>
        <v/>
      </c>
      <c r="AL3" s="15" t="str">
        <f>IF('3.機能一覧'!A40="","",'3.機能一覧'!A40)</f>
        <v/>
      </c>
      <c r="AM3" s="15" t="str">
        <f>IF('3.機能一覧'!A41="","",'3.機能一覧'!A41)</f>
        <v/>
      </c>
      <c r="AN3" s="15" t="str">
        <f>IF('3.機能一覧'!A42="","",'3.機能一覧'!A42)</f>
        <v/>
      </c>
      <c r="AO3" s="15" t="str">
        <f>IF('3.機能一覧'!A43="","",'3.機能一覧'!A43)</f>
        <v/>
      </c>
      <c r="AP3" s="15" t="str">
        <f>IF('3.機能一覧'!A44="","",'3.機能一覧'!A44)</f>
        <v/>
      </c>
      <c r="AQ3" s="15" t="str">
        <f>IF('3.機能一覧'!A45="","",'3.機能一覧'!A45)</f>
        <v/>
      </c>
      <c r="AR3" s="15" t="str">
        <f>IF('3.機能一覧'!A46="","",'3.機能一覧'!A46)</f>
        <v/>
      </c>
      <c r="AS3" s="15" t="str">
        <f>IF('3.機能一覧'!A47="","",'3.機能一覧'!A47)</f>
        <v/>
      </c>
      <c r="AT3" s="15" t="str">
        <f>IF('3.機能一覧'!A48="","",'3.機能一覧'!A48)</f>
        <v/>
      </c>
      <c r="AU3" s="15" t="str">
        <f>IF('3.機能一覧'!A49="","",'3.機能一覧'!A49)</f>
        <v/>
      </c>
      <c r="AV3" s="15" t="str">
        <f>IF('3.機能一覧'!A50="","",'3.機能一覧'!A50)</f>
        <v/>
      </c>
      <c r="AW3" s="15" t="str">
        <f>IF('3.機能一覧'!A51="","",'3.機能一覧'!A51)</f>
        <v/>
      </c>
      <c r="AX3" s="15" t="str">
        <f>IF('3.機能一覧'!A52="","",'3.機能一覧'!A52)</f>
        <v/>
      </c>
      <c r="AY3" s="15" t="str">
        <f>IF('3.機能一覧'!A53="","",'3.機能一覧'!A53)</f>
        <v/>
      </c>
      <c r="AZ3" s="15" t="str">
        <f>IF('3.機能一覧'!A54="","",'3.機能一覧'!A54)</f>
        <v/>
      </c>
      <c r="BA3" s="15" t="str">
        <f>IF('3.機能一覧'!A55="","",'3.機能一覧'!A55)</f>
        <v/>
      </c>
      <c r="BB3" s="15" t="str">
        <f>IF('3.機能一覧'!A56="","",'3.機能一覧'!A56)</f>
        <v/>
      </c>
      <c r="BC3" s="15" t="str">
        <f>IF('3.機能一覧'!A57="","",'3.機能一覧'!A57)</f>
        <v/>
      </c>
      <c r="BD3" s="15" t="str">
        <f>IF('3.機能一覧'!A58="","",'3.機能一覧'!A58)</f>
        <v/>
      </c>
      <c r="BE3" s="15" t="str">
        <f>IF('3.機能一覧'!A59="","",'3.機能一覧'!A59)</f>
        <v/>
      </c>
      <c r="BF3" s="15" t="str">
        <f>IF('3.機能一覧'!A60="","",'3.機能一覧'!A60)</f>
        <v/>
      </c>
      <c r="BG3" s="15" t="str">
        <f>IF('3.機能一覧'!A61="","",'3.機能一覧'!A61)</f>
        <v/>
      </c>
      <c r="BH3" s="15" t="str">
        <f>IF('3.機能一覧'!A62="","",'3.機能一覧'!A62)</f>
        <v/>
      </c>
      <c r="BI3" s="15" t="str">
        <f>IF('3.機能一覧'!A63="","",'3.機能一覧'!A63)</f>
        <v/>
      </c>
      <c r="BJ3" s="9" t="s">
        <v>1331</v>
      </c>
      <c r="BK3" s="9" t="s">
        <v>151</v>
      </c>
    </row>
    <row r="4" ht="17" customHeight="1" spans="1:63">
      <c r="A4" s="16" t="str">
        <f>IF('2.要件一覧'!A4="","",'2.要件一覧'!A4)</f>
        <v>REQ-001</v>
      </c>
      <c r="B4" s="6"/>
      <c r="C4" s="5" t="s">
        <v>1332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17">
        <f>IF($A4="","",SUMPRODUCT(($B$3:$BI$3&lt;&gt;"")*($B4:BI4="○")))</f>
        <v>1</v>
      </c>
      <c r="BK4" s="6" t="str">
        <f t="shared" ref="BK4:BK41" si="0">IF($A4="","",IF($BJ4=0,"⚠ 未割当","OK"))</f>
        <v>OK</v>
      </c>
    </row>
    <row r="5" ht="17" customHeight="1" spans="1:63">
      <c r="A5" s="16" t="str">
        <f>IF('2.要件一覧'!A5="","",'2.要件一覧'!A5)</f>
        <v>REQ-002</v>
      </c>
      <c r="B5" s="5" t="s">
        <v>1332</v>
      </c>
      <c r="C5" s="5"/>
      <c r="D5" s="5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17">
        <f>IF($A5="","",SUMPRODUCT(($B$3:$BI$3&lt;&gt;"")*($B5:BI5="○")))</f>
        <v>1</v>
      </c>
      <c r="BK5" s="6" t="str">
        <f t="shared" si="0"/>
        <v>OK</v>
      </c>
    </row>
    <row r="6" ht="17" customHeight="1" spans="1:63">
      <c r="A6" s="16" t="str">
        <f>IF('2.要件一覧'!A6="","",'2.要件一覧'!A6)</f>
        <v>REQ-003</v>
      </c>
      <c r="B6" s="5"/>
      <c r="C6" s="6"/>
      <c r="D6" s="6" t="s">
        <v>1332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17">
        <f>IF($A6="","",SUMPRODUCT(($B$3:$BI$3&lt;&gt;"")*($B6:BI6="○")))</f>
        <v>1</v>
      </c>
      <c r="BK6" s="6" t="str">
        <f t="shared" si="0"/>
        <v>OK</v>
      </c>
    </row>
    <row r="7" ht="17" customHeight="1" spans="1:63">
      <c r="A7" s="16" t="str">
        <f>IF('2.要件一覧'!A7="","",'2.要件一覧'!A7)</f>
        <v>REQ-004</v>
      </c>
      <c r="B7" s="5"/>
      <c r="C7" s="5"/>
      <c r="D7" s="5"/>
      <c r="E7" s="5" t="s">
        <v>1332</v>
      </c>
      <c r="F7" s="5"/>
      <c r="G7" s="5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17">
        <f>IF($A7="","",SUMPRODUCT(($B$3:$BI$3&lt;&gt;"")*($B7:BI7="○")))</f>
        <v>1</v>
      </c>
      <c r="BK7" s="6" t="str">
        <f t="shared" si="0"/>
        <v>OK</v>
      </c>
    </row>
    <row r="8" ht="17" customHeight="1" spans="1:63">
      <c r="A8" s="16" t="str">
        <f>IF('2.要件一覧'!A8="","",'2.要件一覧'!A8)</f>
        <v>REQ-005</v>
      </c>
      <c r="B8" s="5"/>
      <c r="C8" s="5"/>
      <c r="D8" s="5"/>
      <c r="E8" s="5"/>
      <c r="F8" s="5" t="s">
        <v>1332</v>
      </c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17">
        <f>IF($A8="","",SUMPRODUCT(($B$3:$BI$3&lt;&gt;"")*($B8:BI8="○")))</f>
        <v>1</v>
      </c>
      <c r="BK8" s="6" t="str">
        <f t="shared" si="0"/>
        <v>OK</v>
      </c>
    </row>
    <row r="9" ht="17" customHeight="1" spans="1:63">
      <c r="A9" s="16" t="str">
        <f>IF('2.要件一覧'!A9="","",'2.要件一覧'!A9)</f>
        <v>REQ-006</v>
      </c>
      <c r="B9" s="5"/>
      <c r="C9" s="5"/>
      <c r="D9" s="5"/>
      <c r="E9" s="5"/>
      <c r="F9" s="5"/>
      <c r="G9" s="6" t="s">
        <v>1332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17">
        <f>IF($A9="","",SUMPRODUCT(($B$3:$BI$3&lt;&gt;"")*($B9:BI9="○")))</f>
        <v>1</v>
      </c>
      <c r="BK9" s="6" t="str">
        <f t="shared" si="0"/>
        <v>OK</v>
      </c>
    </row>
    <row r="10" ht="17" customHeight="1" spans="1:63">
      <c r="A10" s="16" t="str">
        <f>IF('2.要件一覧'!A10="","",'2.要件一覧'!A10)</f>
        <v>REQ-007</v>
      </c>
      <c r="B10" s="5"/>
      <c r="C10" s="5"/>
      <c r="D10" s="5"/>
      <c r="E10" s="5"/>
      <c r="F10" s="5"/>
      <c r="G10" s="5"/>
      <c r="H10" s="5" t="s">
        <v>1332</v>
      </c>
      <c r="I10" s="5"/>
      <c r="J10" s="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17">
        <f>IF($A10="","",SUMPRODUCT(($B$3:$BI$3&lt;&gt;"")*($B10:BI10="○")))</f>
        <v>1</v>
      </c>
      <c r="BK10" s="6" t="str">
        <f t="shared" si="0"/>
        <v>OK</v>
      </c>
    </row>
    <row r="11" ht="17" customHeight="1" spans="1:63">
      <c r="A11" s="16" t="str">
        <f>IF('2.要件一覧'!A11="","",'2.要件一覧'!A11)</f>
        <v>REQ-008</v>
      </c>
      <c r="B11" s="5"/>
      <c r="C11" s="5"/>
      <c r="D11" s="5"/>
      <c r="E11" s="5"/>
      <c r="F11" s="5"/>
      <c r="G11" s="5"/>
      <c r="H11" s="5"/>
      <c r="I11" s="5" t="s">
        <v>1332</v>
      </c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17">
        <f>IF($A11="","",SUMPRODUCT(($B$3:$BI$3&lt;&gt;"")*($B11:BI11="○")))</f>
        <v>1</v>
      </c>
      <c r="BK11" s="6" t="str">
        <f t="shared" si="0"/>
        <v>OK</v>
      </c>
    </row>
    <row r="12" ht="17" customHeight="1" spans="1:63">
      <c r="A12" s="16" t="str">
        <f>IF('2.要件一覧'!A12="","",'2.要件一覧'!A12)</f>
        <v>REQ-009</v>
      </c>
      <c r="B12" s="5"/>
      <c r="C12" s="5"/>
      <c r="D12" s="5"/>
      <c r="E12" s="5"/>
      <c r="F12" s="5"/>
      <c r="G12" s="5"/>
      <c r="H12" s="5"/>
      <c r="I12" s="5"/>
      <c r="J12" s="5" t="s">
        <v>1332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17">
        <f>IF($A12="","",SUMPRODUCT(($B$3:$BI$3&lt;&gt;"")*($B12:BI12="○")))</f>
        <v>1</v>
      </c>
      <c r="BK12" s="6" t="str">
        <f t="shared" si="0"/>
        <v>OK</v>
      </c>
    </row>
    <row r="13" ht="17" customHeight="1" spans="1:63">
      <c r="A13" s="16" t="str">
        <f>IF('2.要件一覧'!A13="","",'2.要件一覧'!A13)</f>
        <v>REQ-010</v>
      </c>
      <c r="B13" s="5"/>
      <c r="C13" s="5"/>
      <c r="D13" s="5"/>
      <c r="E13" s="5"/>
      <c r="F13" s="5"/>
      <c r="G13" s="5"/>
      <c r="H13" s="5"/>
      <c r="I13" s="5"/>
      <c r="J13" s="5"/>
      <c r="K13" s="5" t="s">
        <v>1332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7">
        <f>IF($A13="","",SUMPRODUCT(($B$3:$BI$3&lt;&gt;"")*($B13:BI13="○")))</f>
        <v>1</v>
      </c>
      <c r="BK13" s="6" t="str">
        <f t="shared" si="0"/>
        <v>OK</v>
      </c>
    </row>
    <row r="14" ht="17" customHeight="1" spans="1:63">
      <c r="A14" s="16" t="str">
        <f>IF('2.要件一覧'!A14="","",'2.要件一覧'!A14)</f>
        <v>REQ-011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 t="s">
        <v>1332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17">
        <f>IF($A14="","",SUMPRODUCT(($B$3:$BI$3&lt;&gt;"")*($B14:BI14="○")))</f>
        <v>1</v>
      </c>
      <c r="BK14" s="6" t="str">
        <f t="shared" si="0"/>
        <v>OK</v>
      </c>
    </row>
    <row r="15" ht="17" customHeight="1" spans="1:63">
      <c r="A15" s="16" t="str">
        <f>IF('2.要件一覧'!A15="","",'2.要件一覧'!A15)</f>
        <v>REQ-012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 t="s">
        <v>1332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17">
        <f>IF($A15="","",SUMPRODUCT(($B$3:$BI$3&lt;&gt;"")*($B15:BI15="○")))</f>
        <v>1</v>
      </c>
      <c r="BK15" s="6" t="str">
        <f t="shared" si="0"/>
        <v>OK</v>
      </c>
    </row>
    <row r="16" ht="17" customHeight="1" spans="1:63">
      <c r="A16" s="16" t="str">
        <f>IF('2.要件一覧'!A16="","",'2.要件一覧'!A16)</f>
        <v>REQ-013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 t="s">
        <v>1332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17">
        <f>IF($A16="","",SUMPRODUCT(($B$3:$BI$3&lt;&gt;"")*($B16:BI16="○")))</f>
        <v>1</v>
      </c>
      <c r="BK16" s="6" t="str">
        <f t="shared" si="0"/>
        <v>OK</v>
      </c>
    </row>
    <row r="17" ht="17" customHeight="1" spans="1:63">
      <c r="A17" s="16" t="str">
        <f>IF('2.要件一覧'!A17="","",'2.要件一覧'!A17)</f>
        <v>REQ-014</v>
      </c>
      <c r="B17" s="5" t="s">
        <v>1332</v>
      </c>
      <c r="C17" s="5" t="s">
        <v>1332</v>
      </c>
      <c r="D17" s="5" t="s">
        <v>1332</v>
      </c>
      <c r="E17" s="5" t="s">
        <v>1332</v>
      </c>
      <c r="F17" s="5" t="s">
        <v>1332</v>
      </c>
      <c r="G17" s="5" t="s">
        <v>1332</v>
      </c>
      <c r="H17" s="5" t="s">
        <v>1332</v>
      </c>
      <c r="I17" s="5" t="s">
        <v>1332</v>
      </c>
      <c r="J17" s="5" t="s">
        <v>1332</v>
      </c>
      <c r="K17" s="5" t="s">
        <v>1332</v>
      </c>
      <c r="L17" s="5" t="s">
        <v>1332</v>
      </c>
      <c r="M17" s="5" t="s">
        <v>1332</v>
      </c>
      <c r="N17" s="5" t="s">
        <v>1332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17">
        <f>IF($A17="","",SUMPRODUCT(($B$3:$BI$3&lt;&gt;"")*($B17:BI17="○")))</f>
        <v>13</v>
      </c>
      <c r="BK17" s="6" t="str">
        <f t="shared" si="0"/>
        <v>OK</v>
      </c>
    </row>
    <row r="18" ht="17" customHeight="1" spans="1:63">
      <c r="A18" s="16" t="str">
        <f>IF('2.要件一覧'!A18="","",'2.要件一覧'!A18)</f>
        <v>REQ-015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 t="s">
        <v>1332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17">
        <f>IF($A18="","",SUMPRODUCT(($B$3:$BI$3&lt;&gt;"")*($B18:BI18="○")))</f>
        <v>1</v>
      </c>
      <c r="BK18" s="6" t="str">
        <f t="shared" si="0"/>
        <v>OK</v>
      </c>
    </row>
    <row r="19" ht="17" customHeight="1" spans="1:63">
      <c r="A19" s="16" t="str">
        <f>IF('2.要件一覧'!A19="","",'2.要件一覧'!A19)</f>
        <v>REQ-016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 t="s">
        <v>1332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17">
        <f>IF($A19="","",SUMPRODUCT(($B$3:$BI$3&lt;&gt;"")*($B19:BI19="○")))</f>
        <v>1</v>
      </c>
      <c r="BK19" s="6" t="str">
        <f t="shared" si="0"/>
        <v>OK</v>
      </c>
    </row>
    <row r="20" ht="17" customHeight="1" spans="1:63">
      <c r="A20" s="16" t="str">
        <f>IF('2.要件一覧'!A20="","",'2.要件一覧'!A20)</f>
        <v>REQ-017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 t="s">
        <v>1332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17">
        <f>IF($A20="","",SUMPRODUCT(($B$3:$BI$3&lt;&gt;"")*($B20:BI20="○")))</f>
        <v>1</v>
      </c>
      <c r="BK20" s="6" t="str">
        <f t="shared" si="0"/>
        <v>OK</v>
      </c>
    </row>
    <row r="21" ht="17" customHeight="1" spans="1:63">
      <c r="A21" s="16" t="str">
        <f>IF('2.要件一覧'!A21="","",'2.要件一覧'!A21)</f>
        <v>REQ-018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">
        <v>1332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17">
        <f>IF($A21="","",SUMPRODUCT(($B$3:$BI$3&lt;&gt;"")*($B21:BI21="○")))</f>
        <v>1</v>
      </c>
      <c r="BK21" s="6" t="str">
        <f t="shared" si="0"/>
        <v>OK</v>
      </c>
    </row>
    <row r="22" ht="17" customHeight="1" spans="1:63">
      <c r="A22" s="16" t="str">
        <f>IF('2.要件一覧'!A22="","",'2.要件一覧'!A22)</f>
        <v>REQ-019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">
        <v>1332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17">
        <f>IF($A22="","",SUMPRODUCT(($B$3:$BI$3&lt;&gt;"")*($B22:BI22="○")))</f>
        <v>1</v>
      </c>
      <c r="BK22" s="6" t="str">
        <f t="shared" si="0"/>
        <v>OK</v>
      </c>
    </row>
    <row r="23" ht="17" customHeight="1" spans="1:63">
      <c r="A23" s="16" t="str">
        <f>IF('2.要件一覧'!A23="","",'2.要件一覧'!A23)</f>
        <v>REQ-020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 t="s">
        <v>1332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17">
        <f>IF($A23="","",SUMPRODUCT(($B$3:$BI$3&lt;&gt;"")*($B23:BI23="○")))</f>
        <v>1</v>
      </c>
      <c r="BK23" s="6" t="str">
        <f t="shared" si="0"/>
        <v>OK</v>
      </c>
    </row>
    <row r="24" ht="17" customHeight="1" spans="1:63">
      <c r="A24" s="16" t="str">
        <f>IF('2.要件一覧'!A24="","",'2.要件一覧'!A24)</f>
        <v>REQ-021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 t="s">
        <v>1332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17">
        <f>IF($A24="","",SUMPRODUCT(($B$3:$BI$3&lt;&gt;"")*($B24:BI24="○")))</f>
        <v>1</v>
      </c>
      <c r="BK24" s="6" t="str">
        <f t="shared" si="0"/>
        <v>OK</v>
      </c>
    </row>
    <row r="25" ht="17" customHeight="1" spans="1:63">
      <c r="A25" s="16" t="str">
        <f>IF('2.要件一覧'!A25="","",'2.要件一覧'!A25)</f>
        <v>REQ-022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 t="s">
        <v>1332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17">
        <f>IF($A25="","",SUMPRODUCT(($B$3:$BI$3&lt;&gt;"")*($B25:BI25="○")))</f>
        <v>1</v>
      </c>
      <c r="BK25" s="6" t="str">
        <f t="shared" si="0"/>
        <v>OK</v>
      </c>
    </row>
    <row r="26" ht="17" customHeight="1" spans="1:63">
      <c r="A26" s="16" t="str">
        <f>IF('2.要件一覧'!A26="","",'2.要件一覧'!A26)</f>
        <v>REQ-023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">
        <v>1332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17">
        <f>IF($A26="","",SUMPRODUCT(($B$3:$BI$3&lt;&gt;"")*($B26:BI26="○")))</f>
        <v>1</v>
      </c>
      <c r="BK26" s="6" t="str">
        <f t="shared" si="0"/>
        <v>OK</v>
      </c>
    </row>
    <row r="27" ht="17" customHeight="1" spans="1:63">
      <c r="A27" s="16" t="str">
        <f>IF('2.要件一覧'!A27="","",'2.要件一覧'!A27)</f>
        <v>REQ-024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 t="s">
        <v>1332</v>
      </c>
      <c r="R27" s="5"/>
      <c r="S27" s="5"/>
      <c r="T27" s="5"/>
      <c r="U27" s="5"/>
      <c r="V27" s="5" t="s">
        <v>1332</v>
      </c>
      <c r="W27" s="5" t="s">
        <v>1332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17">
        <f>IF($A27="","",SUMPRODUCT(($B$3:$BI$3&lt;&gt;"")*($B27:BI27="○")))</f>
        <v>3</v>
      </c>
      <c r="BK27" s="6" t="str">
        <f t="shared" si="0"/>
        <v>OK</v>
      </c>
    </row>
    <row r="28" ht="17" customHeight="1" spans="1:63">
      <c r="A28" s="16" t="str">
        <f>IF('2.要件一覧'!A28="","",'2.要件一覧'!A28)</f>
        <v>REQ-025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 t="s">
        <v>1332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17">
        <f>IF($A28="","",SUMPRODUCT(($B$3:$BI$3&lt;&gt;"")*($B28:BI28="○")))</f>
        <v>1</v>
      </c>
      <c r="BK28" s="6" t="str">
        <f t="shared" si="0"/>
        <v>OK</v>
      </c>
    </row>
    <row r="29" ht="17" customHeight="1" spans="1:63">
      <c r="A29" s="16" t="str">
        <f>IF('2.要件一覧'!A29="","",'2.要件一覧'!A29)</f>
        <v>REQ-026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 t="s">
        <v>1332</v>
      </c>
      <c r="S29" s="5"/>
      <c r="T29" s="5"/>
      <c r="U29" s="5"/>
      <c r="V29" s="5" t="s">
        <v>1332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17">
        <f>IF($A29="","",SUMPRODUCT(($B$3:$BI$3&lt;&gt;"")*($B29:BI29="○")))</f>
        <v>2</v>
      </c>
      <c r="BK29" s="6" t="str">
        <f t="shared" si="0"/>
        <v>OK</v>
      </c>
    </row>
    <row r="30" ht="17" customHeight="1" spans="1:63">
      <c r="A30" s="16" t="str">
        <f>IF('2.要件一覧'!A30="","",'2.要件一覧'!A30)</f>
        <v>REQ-027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 t="s">
        <v>1332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17">
        <f>IF($A30="","",SUMPRODUCT(($B$3:$BI$3&lt;&gt;"")*($B30:BI30="○")))</f>
        <v>1</v>
      </c>
      <c r="BK30" s="6" t="str">
        <f t="shared" si="0"/>
        <v>OK</v>
      </c>
    </row>
    <row r="31" ht="17" customHeight="1" spans="1:63">
      <c r="A31" s="16" t="str">
        <f>IF('2.要件一覧'!A31="","",'2.要件一覧'!A31)</f>
        <v>REQ-028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 t="s">
        <v>1332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17">
        <f>IF($A31="","",SUMPRODUCT(($B$3:$BI$3&lt;&gt;"")*($B31:BI31="○")))</f>
        <v>1</v>
      </c>
      <c r="BK31" s="6" t="str">
        <f t="shared" si="0"/>
        <v>OK</v>
      </c>
    </row>
    <row r="32" ht="17" customHeight="1" spans="1:63">
      <c r="A32" s="16" t="str">
        <f>IF('2.要件一覧'!A32="","",'2.要件一覧'!A32)</f>
        <v>REQ-029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 t="s">
        <v>1332</v>
      </c>
      <c r="R32" s="5"/>
      <c r="S32" s="5"/>
      <c r="T32" s="5"/>
      <c r="U32" s="5"/>
      <c r="V32" s="5" t="s">
        <v>1332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17">
        <f>IF($A32="","",SUMPRODUCT(($B$3:$BI$3&lt;&gt;"")*($B32:BI32="○")))</f>
        <v>2</v>
      </c>
      <c r="BK32" s="6" t="str">
        <f t="shared" si="0"/>
        <v>OK</v>
      </c>
    </row>
    <row r="33" ht="17" customHeight="1" spans="1:63">
      <c r="A33" s="16" t="str">
        <f>IF('2.要件一覧'!A33="","",'2.要件一覧'!A33)</f>
        <v>REQ-030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 t="s">
        <v>1332</v>
      </c>
      <c r="U33" s="5" t="s">
        <v>1332</v>
      </c>
      <c r="V33" s="5"/>
      <c r="W33" s="5"/>
      <c r="X33" s="5"/>
      <c r="Y33" s="5"/>
      <c r="Z33" s="5" t="s">
        <v>1332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17">
        <f>IF($A33="","",SUMPRODUCT(($B$3:$BI$3&lt;&gt;"")*($B33:BI33="○")))</f>
        <v>3</v>
      </c>
      <c r="BK33" s="6" t="str">
        <f t="shared" si="0"/>
        <v>OK</v>
      </c>
    </row>
    <row r="34" ht="17" customHeight="1" spans="1:63">
      <c r="A34" s="16" t="str">
        <f>IF('2.要件一覧'!A34="","",'2.要件一覧'!A34)</f>
        <v>REQ-031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">
        <v>1332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17">
        <f>IF($A34="","",SUMPRODUCT(($B$3:$BI$3&lt;&gt;"")*($B34:BI34="○")))</f>
        <v>1</v>
      </c>
      <c r="BK34" s="6" t="str">
        <f t="shared" si="0"/>
        <v>OK</v>
      </c>
    </row>
    <row r="35" ht="17" customHeight="1" spans="1:63">
      <c r="A35" s="16" t="str">
        <f>IF('2.要件一覧'!A35="","",'2.要件一覧'!A35)</f>
        <v>REQ-032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17">
        <f>IF($A35="","",SUMPRODUCT(($B$3:$BI$3&lt;&gt;"")*($B35:BI35="○")))</f>
        <v>0</v>
      </c>
      <c r="BK35" s="6" t="str">
        <f t="shared" si="0"/>
        <v>⚠ 未割当</v>
      </c>
    </row>
    <row r="36" ht="17" customHeight="1" spans="1:63">
      <c r="A36" s="16" t="str">
        <f>IF('2.要件一覧'!A36="","",'2.要件一覧'!A36)</f>
        <v>REQ-033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 t="s">
        <v>1332</v>
      </c>
      <c r="R36" s="5"/>
      <c r="S36" s="5"/>
      <c r="T36" s="5"/>
      <c r="U36" s="5"/>
      <c r="V36" s="5"/>
      <c r="W36" s="5"/>
      <c r="X36" s="5"/>
      <c r="Y36" s="5"/>
      <c r="Z36" s="5"/>
      <c r="AA36" s="5" t="s">
        <v>1332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17">
        <f>IF($A36="","",SUMPRODUCT(($B$3:$BI$3&lt;&gt;"")*($B36:BI36="○")))</f>
        <v>2</v>
      </c>
      <c r="BK36" s="6" t="str">
        <f t="shared" si="0"/>
        <v>OK</v>
      </c>
    </row>
    <row r="37" ht="17" customHeight="1" spans="1:63">
      <c r="A37" s="16" t="str">
        <f>IF('2.要件一覧'!A37="","",'2.要件一覧'!A37)</f>
        <v>REQ-034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 t="s">
        <v>1332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17">
        <f>IF($A37="","",SUMPRODUCT(($B$3:$BI$3&lt;&gt;"")*($B37:BI37="○")))</f>
        <v>1</v>
      </c>
      <c r="BK37" s="6" t="str">
        <f t="shared" si="0"/>
        <v>OK</v>
      </c>
    </row>
    <row r="38" ht="17" customHeight="1" spans="1:63">
      <c r="A38" s="16" t="str">
        <f>IF('2.要件一覧'!A38="","",'2.要件一覧'!A38)</f>
        <v>REQ-035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17">
        <f>IF($A38="","",SUMPRODUCT(($B$3:$BI$3&lt;&gt;"")*($B38:BI38="○")))</f>
        <v>0</v>
      </c>
      <c r="BK38" s="6" t="str">
        <f t="shared" si="0"/>
        <v>⚠ 未割当</v>
      </c>
    </row>
    <row r="39" ht="17" customHeight="1" spans="1:63">
      <c r="A39" s="16" t="str">
        <f>IF('2.要件一覧'!A39="","",'2.要件一覧'!A39)</f>
        <v>REQ-036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17">
        <f>IF($A39="","",SUMPRODUCT(($B$3:$BI$3&lt;&gt;"")*($B39:BI39="○")))</f>
        <v>0</v>
      </c>
      <c r="BK39" s="6" t="str">
        <f t="shared" si="0"/>
        <v>⚠ 未割当</v>
      </c>
    </row>
    <row r="40" ht="17" customHeight="1" spans="1:63">
      <c r="A40" s="16" t="str">
        <f>IF('2.要件一覧'!A40="","",'2.要件一覧'!A40)</f>
        <v>REQ-037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 t="s">
        <v>1332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17">
        <f>IF($A40="","",SUMPRODUCT(($B$3:$BI$3&lt;&gt;"")*($B40:BI40="○")))</f>
        <v>1</v>
      </c>
      <c r="BK40" s="6" t="str">
        <f t="shared" si="0"/>
        <v>OK</v>
      </c>
    </row>
    <row r="41" ht="17" customHeight="1" spans="1:63">
      <c r="A41" s="16" t="str">
        <f>IF('2.要件一覧'!A41="","",'2.要件一覧'!A41)</f>
        <v>REQ-038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 t="s">
        <v>1332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17">
        <f>IF($A41="","",SUMPRODUCT(($B$3:$BI$3&lt;&gt;"")*($B41:BI41="○")))</f>
        <v>1</v>
      </c>
      <c r="BK41" s="6" t="str">
        <f t="shared" si="0"/>
        <v>OK</v>
      </c>
    </row>
    <row r="42" ht="17" customHeight="1" spans="1:63">
      <c r="A42" s="16" t="str">
        <f>IF('2.要件一覧'!A42="","",'2.要件一覧'!A42)</f>
        <v>NFR-01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17">
        <f>IF($A42="","",SUMPRODUCT(($B$3:$BI$3&lt;&gt;"")*($B42:BI42="○")))</f>
        <v>0</v>
      </c>
      <c r="BK42" s="6" t="str">
        <f t="shared" ref="BK42:BK55" si="1">IF($A42="","",IF($BJ42=0,"設計文書承接（BD-10）","OK"))</f>
        <v>設計文書承接（BD-10）</v>
      </c>
    </row>
    <row r="43" ht="17" customHeight="1" spans="1:63">
      <c r="A43" s="16" t="str">
        <f>IF('2.要件一覧'!A43="","",'2.要件一覧'!A43)</f>
        <v>NFR-02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17">
        <f>IF($A43="","",SUMPRODUCT(($B$3:$BI$3&lt;&gt;"")*($B43:BI43="○")))</f>
        <v>0</v>
      </c>
      <c r="BK43" s="6" t="str">
        <f t="shared" si="1"/>
        <v>設計文書承接（BD-10）</v>
      </c>
    </row>
    <row r="44" ht="17" customHeight="1" spans="1:63">
      <c r="A44" s="16" t="str">
        <f>IF('2.要件一覧'!A44="","",'2.要件一覧'!A44)</f>
        <v>NFR-03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 t="s">
        <v>1332</v>
      </c>
      <c r="V44" s="5" t="s">
        <v>1332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17">
        <f>IF($A44="","",SUMPRODUCT(($B$3:$BI$3&lt;&gt;"")*($B44:BI44="○")))</f>
        <v>2</v>
      </c>
      <c r="BK44" s="6" t="str">
        <f t="shared" si="1"/>
        <v>OK</v>
      </c>
    </row>
    <row r="45" ht="17" customHeight="1" spans="1:63">
      <c r="A45" s="16" t="str">
        <f>IF('2.要件一覧'!A45="","",'2.要件一覧'!A45)</f>
        <v>NFR-04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17">
        <f>IF($A45="","",SUMPRODUCT(($B$3:$BI$3&lt;&gt;"")*($B45:BI45="○")))</f>
        <v>0</v>
      </c>
      <c r="BK45" s="6" t="str">
        <f t="shared" si="1"/>
        <v>設計文書承接（BD-10）</v>
      </c>
    </row>
    <row r="46" ht="17" customHeight="1" spans="1:63">
      <c r="A46" s="16" t="str">
        <f>IF('2.要件一覧'!A46="","",'2.要件一覧'!A46)</f>
        <v>NFR-05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17">
        <f>IF($A46="","",SUMPRODUCT(($B$3:$BI$3&lt;&gt;"")*($B46:BI46="○")))</f>
        <v>0</v>
      </c>
      <c r="BK46" s="6" t="str">
        <f t="shared" si="1"/>
        <v>設計文書承接（BD-10）</v>
      </c>
    </row>
    <row r="47" ht="17" customHeight="1" spans="1:63">
      <c r="A47" s="16" t="str">
        <f>IF('2.要件一覧'!A47="","",'2.要件一覧'!A47)</f>
        <v>NFR-06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17">
        <f>IF($A47="","",SUMPRODUCT(($B$3:$BI$3&lt;&gt;"")*($B47:BI47="○")))</f>
        <v>0</v>
      </c>
      <c r="BK47" s="6" t="str">
        <f t="shared" si="1"/>
        <v>設計文書承接（BD-10）</v>
      </c>
    </row>
    <row r="48" ht="17" customHeight="1" spans="1:63">
      <c r="A48" s="16" t="str">
        <f>IF('2.要件一覧'!A48="","",'2.要件一覧'!A48)</f>
        <v>NFR-07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17">
        <f>IF($A48="","",SUMPRODUCT(($B$3:$BI$3&lt;&gt;"")*($B48:BI48="○")))</f>
        <v>0</v>
      </c>
      <c r="BK48" s="6" t="str">
        <f t="shared" si="1"/>
        <v>設計文書承接（BD-10）</v>
      </c>
    </row>
    <row r="49" ht="17" customHeight="1" spans="1:63">
      <c r="A49" s="16" t="str">
        <f>IF('2.要件一覧'!A49="","",'2.要件一覧'!A49)</f>
        <v>NFR-08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17">
        <f>IF($A49="","",SUMPRODUCT(($B$3:$BI$3&lt;&gt;"")*($B49:BI49="○")))</f>
        <v>0</v>
      </c>
      <c r="BK49" s="6" t="str">
        <f t="shared" si="1"/>
        <v>設計文書承接（BD-10）</v>
      </c>
    </row>
    <row r="50" ht="17" customHeight="1" spans="1:63">
      <c r="A50" s="16" t="str">
        <f>IF('2.要件一覧'!A50="","",'2.要件一覧'!A50)</f>
        <v>NFR-09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 t="s">
        <v>1332</v>
      </c>
      <c r="R50" s="5" t="s">
        <v>1332</v>
      </c>
      <c r="S50" s="5" t="s">
        <v>1332</v>
      </c>
      <c r="T50" s="5" t="s">
        <v>1332</v>
      </c>
      <c r="U50" s="5" t="s">
        <v>1332</v>
      </c>
      <c r="V50" s="5" t="s">
        <v>1332</v>
      </c>
      <c r="W50" s="5" t="s">
        <v>1332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17">
        <f>IF($A50="","",SUMPRODUCT(($B$3:$BI$3&lt;&gt;"")*($B50:BI50="○")))</f>
        <v>7</v>
      </c>
      <c r="BK50" s="6" t="str">
        <f t="shared" si="1"/>
        <v>OK</v>
      </c>
    </row>
    <row r="51" ht="17" customHeight="1" spans="1:63">
      <c r="A51" s="16" t="str">
        <f>IF('2.要件一覧'!A51="","",'2.要件一覧'!A51)</f>
        <v>NFR-10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17">
        <f>IF($A51="","",SUMPRODUCT(($B$3:$BI$3&lt;&gt;"")*($B51:BI51="○")))</f>
        <v>0</v>
      </c>
      <c r="BK51" s="6" t="str">
        <f t="shared" si="1"/>
        <v>設計文書承接（BD-10）</v>
      </c>
    </row>
    <row r="52" ht="17" customHeight="1" spans="1:63">
      <c r="A52" s="16" t="str">
        <f>IF('2.要件一覧'!A52="","",'2.要件一覧'!A52)</f>
        <v>NFR-11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17">
        <f>IF($A52="","",SUMPRODUCT(($B$3:$BI$3&lt;&gt;"")*($B52:BI52="○")))</f>
        <v>0</v>
      </c>
      <c r="BK52" s="6" t="str">
        <f t="shared" si="1"/>
        <v>設計文書承接（BD-10）</v>
      </c>
    </row>
    <row r="53" ht="17" customHeight="1" spans="1:63">
      <c r="A53" s="16" t="str">
        <f>IF('2.要件一覧'!A53="","",'2.要件一覧'!A53)</f>
        <v>NFR-12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17">
        <f>IF($A53="","",SUMPRODUCT(($B$3:$BI$3&lt;&gt;"")*($B53:BI53="○")))</f>
        <v>0</v>
      </c>
      <c r="BK53" s="6" t="str">
        <f t="shared" si="1"/>
        <v>設計文書承接（BD-10）</v>
      </c>
    </row>
    <row r="54" ht="16.5" customHeight="1" spans="1:63">
      <c r="A54" s="16" t="str">
        <f>IF('2.要件一覧'!A54="","",'2.要件一覧'!A54)</f>
        <v>NFR-13</v>
      </c>
      <c r="B54" s="17">
        <f t="shared" ref="B54:BI54" si="2">IF(B$3="","",SUMPRODUCT(($A$4:$A$53&lt;&gt;"")*(B$4:B$53="○")))</f>
        <v>2</v>
      </c>
      <c r="C54" s="17">
        <f t="shared" si="2"/>
        <v>2</v>
      </c>
      <c r="D54" s="17">
        <f t="shared" si="2"/>
        <v>2</v>
      </c>
      <c r="E54" s="17">
        <f t="shared" si="2"/>
        <v>2</v>
      </c>
      <c r="F54" s="17">
        <f t="shared" si="2"/>
        <v>2</v>
      </c>
      <c r="G54" s="17">
        <f t="shared" si="2"/>
        <v>2</v>
      </c>
      <c r="H54" s="17">
        <f t="shared" si="2"/>
        <v>2</v>
      </c>
      <c r="I54" s="17">
        <f t="shared" si="2"/>
        <v>2</v>
      </c>
      <c r="J54" s="17">
        <f t="shared" si="2"/>
        <v>2</v>
      </c>
      <c r="K54" s="17">
        <f t="shared" si="2"/>
        <v>2</v>
      </c>
      <c r="L54" s="17">
        <f t="shared" si="2"/>
        <v>2</v>
      </c>
      <c r="M54" s="17">
        <f t="shared" si="2"/>
        <v>2</v>
      </c>
      <c r="N54" s="17">
        <f t="shared" si="2"/>
        <v>2</v>
      </c>
      <c r="O54" s="17">
        <f t="shared" si="2"/>
        <v>1</v>
      </c>
      <c r="P54" s="17">
        <f t="shared" si="2"/>
        <v>0</v>
      </c>
      <c r="Q54" s="17">
        <f t="shared" si="2"/>
        <v>6</v>
      </c>
      <c r="R54" s="17">
        <f t="shared" si="2"/>
        <v>3</v>
      </c>
      <c r="S54" s="17">
        <f t="shared" si="2"/>
        <v>2</v>
      </c>
      <c r="T54" s="17">
        <f t="shared" si="2"/>
        <v>3</v>
      </c>
      <c r="U54" s="17">
        <f t="shared" si="2"/>
        <v>4</v>
      </c>
      <c r="V54" s="17">
        <f t="shared" si="2"/>
        <v>10</v>
      </c>
      <c r="W54" s="17">
        <f t="shared" si="2"/>
        <v>3</v>
      </c>
      <c r="X54" s="17">
        <f t="shared" si="2"/>
        <v>1</v>
      </c>
      <c r="Y54" s="17">
        <f t="shared" si="2"/>
        <v>1</v>
      </c>
      <c r="Z54" s="17">
        <f t="shared" si="2"/>
        <v>1</v>
      </c>
      <c r="AA54" s="17">
        <f t="shared" si="2"/>
        <v>2</v>
      </c>
      <c r="AB54" s="17" t="str">
        <f t="shared" si="2"/>
        <v/>
      </c>
      <c r="AC54" s="17" t="str">
        <f t="shared" si="2"/>
        <v/>
      </c>
      <c r="AD54" s="17" t="str">
        <f t="shared" si="2"/>
        <v/>
      </c>
      <c r="AE54" s="17" t="str">
        <f t="shared" si="2"/>
        <v/>
      </c>
      <c r="AF54" s="17" t="str">
        <f t="shared" si="2"/>
        <v/>
      </c>
      <c r="AG54" s="17" t="str">
        <f t="shared" si="2"/>
        <v/>
      </c>
      <c r="AH54" s="17" t="str">
        <f t="shared" si="2"/>
        <v/>
      </c>
      <c r="AI54" s="17" t="str">
        <f t="shared" si="2"/>
        <v/>
      </c>
      <c r="AJ54" s="17" t="str">
        <f t="shared" si="2"/>
        <v/>
      </c>
      <c r="AK54" s="17" t="str">
        <f t="shared" si="2"/>
        <v/>
      </c>
      <c r="AL54" s="17" t="str">
        <f t="shared" si="2"/>
        <v/>
      </c>
      <c r="AM54" s="17" t="str">
        <f t="shared" si="2"/>
        <v/>
      </c>
      <c r="AN54" s="17" t="str">
        <f t="shared" si="2"/>
        <v/>
      </c>
      <c r="AO54" s="17" t="str">
        <f t="shared" si="2"/>
        <v/>
      </c>
      <c r="AP54" s="17" t="str">
        <f t="shared" si="2"/>
        <v/>
      </c>
      <c r="AQ54" s="17" t="str">
        <f t="shared" si="2"/>
        <v/>
      </c>
      <c r="AR54" s="17" t="str">
        <f t="shared" si="2"/>
        <v/>
      </c>
      <c r="AS54" s="17" t="str">
        <f t="shared" si="2"/>
        <v/>
      </c>
      <c r="AT54" s="17" t="str">
        <f t="shared" si="2"/>
        <v/>
      </c>
      <c r="AU54" s="17" t="str">
        <f t="shared" si="2"/>
        <v/>
      </c>
      <c r="AV54" s="17" t="str">
        <f t="shared" si="2"/>
        <v/>
      </c>
      <c r="AW54" s="17" t="str">
        <f t="shared" si="2"/>
        <v/>
      </c>
      <c r="AX54" s="17" t="str">
        <f t="shared" si="2"/>
        <v/>
      </c>
      <c r="AY54" s="17" t="str">
        <f t="shared" si="2"/>
        <v/>
      </c>
      <c r="AZ54" s="17" t="str">
        <f t="shared" si="2"/>
        <v/>
      </c>
      <c r="BA54" s="17" t="str">
        <f t="shared" si="2"/>
        <v/>
      </c>
      <c r="BB54" s="17" t="str">
        <f t="shared" si="2"/>
        <v/>
      </c>
      <c r="BC54" s="17" t="str">
        <f t="shared" si="2"/>
        <v/>
      </c>
      <c r="BD54" s="17" t="str">
        <f t="shared" si="2"/>
        <v/>
      </c>
      <c r="BE54" s="17" t="str">
        <f t="shared" si="2"/>
        <v/>
      </c>
      <c r="BF54" s="17" t="str">
        <f t="shared" si="2"/>
        <v/>
      </c>
      <c r="BG54" s="17" t="str">
        <f t="shared" si="2"/>
        <v/>
      </c>
      <c r="BH54" s="17" t="str">
        <f t="shared" si="2"/>
        <v/>
      </c>
      <c r="BI54" s="17" t="str">
        <f t="shared" si="2"/>
        <v/>
      </c>
      <c r="BJ54" s="17">
        <f>IF($A54="","",SUMPRODUCT(($B$3:$BI$3&lt;&gt;"")*($B54:BI54="○")))</f>
        <v>0</v>
      </c>
      <c r="BK54" s="6" t="str">
        <f t="shared" si="1"/>
        <v>設計文書承接（BD-10）</v>
      </c>
    </row>
    <row r="55" ht="16.5" customHeight="1" spans="1:63">
      <c r="A55" s="16" t="str">
        <f>IF('2.要件一覧'!A55="","",'2.要件一覧'!A55)</f>
        <v>NFR-14</v>
      </c>
      <c r="BJ55" s="17">
        <f>IF($A55="","",SUMPRODUCT(($B$3:$BI$3&lt;&gt;"")*($B55:BI55="○")))</f>
        <v>0</v>
      </c>
      <c r="BK55" s="6" t="str">
        <f t="shared" si="1"/>
        <v>設計文書承接（BD-10）</v>
      </c>
    </row>
    <row r="56" ht="16.5" customHeight="1" spans="1:63">
      <c r="A56" s="16" t="str">
        <f>IF('2.要件一覧'!A56="","",'2.要件一覧'!A56)</f>
        <v/>
      </c>
      <c r="BJ56" s="17" t="str">
        <f>IF($A56="","",SUMPRODUCT(($B$3:$BI$3&lt;&gt;"")*($B56:BI56="○")))</f>
        <v/>
      </c>
      <c r="BK56" s="6" t="str">
        <f t="shared" ref="BK56:BK63" si="3">IF($A56="","",IF($BJ56=0,"⚠ 未割当","OK"))</f>
        <v/>
      </c>
    </row>
    <row r="57" ht="6" customHeight="1" spans="1:63">
      <c r="A57" s="16" t="str">
        <f>IF('2.要件一覧'!A57="","",'2.要件一覧'!A57)</f>
        <v/>
      </c>
      <c r="BJ57" s="17" t="str">
        <f>IF($A57="","",SUMPRODUCT(($B$3:$BI$3&lt;&gt;"")*($B57:BI57="○")))</f>
        <v/>
      </c>
      <c r="BK57" s="6" t="str">
        <f t="shared" si="3"/>
        <v/>
      </c>
    </row>
    <row r="58" ht="6" customHeight="1" spans="1:63">
      <c r="A58" s="16" t="str">
        <f>IF('2.要件一覧'!A58="","",'2.要件一覧'!A58)</f>
        <v/>
      </c>
      <c r="BJ58" s="17" t="str">
        <f>IF($A58="","",SUMPRODUCT(($B$3:$BI$3&lt;&gt;"")*($B58:BI58="○")))</f>
        <v/>
      </c>
      <c r="BK58" s="6" t="str">
        <f t="shared" si="3"/>
        <v/>
      </c>
    </row>
    <row r="59" ht="6" customHeight="1" spans="1:63">
      <c r="A59" s="16" t="str">
        <f>IF('2.要件一覧'!A59="","",'2.要件一覧'!A59)</f>
        <v/>
      </c>
      <c r="BJ59" s="17" t="str">
        <f>IF($A59="","",SUMPRODUCT(($B$3:$BI$3&lt;&gt;"")*($B59:BI59="○")))</f>
        <v/>
      </c>
      <c r="BK59" s="6" t="str">
        <f t="shared" si="3"/>
        <v/>
      </c>
    </row>
    <row r="60" ht="6" customHeight="1" spans="1:63">
      <c r="A60" s="16" t="str">
        <f>IF('2.要件一覧'!A60="","",'2.要件一覧'!A60)</f>
        <v/>
      </c>
      <c r="BJ60" s="17" t="str">
        <f>IF($A60="","",SUMPRODUCT(($B$3:$BI$3&lt;&gt;"")*($B60:BI60="○")))</f>
        <v/>
      </c>
      <c r="BK60" s="6" t="str">
        <f t="shared" si="3"/>
        <v/>
      </c>
    </row>
    <row r="61" ht="6" customHeight="1" spans="1:63">
      <c r="A61" s="16" t="str">
        <f>IF('2.要件一覧'!A61="","",'2.要件一覧'!A61)</f>
        <v/>
      </c>
      <c r="BJ61" s="17" t="str">
        <f>IF($A61="","",SUMPRODUCT(($B$3:$BI$3&lt;&gt;"")*($B61:BI61="○")))</f>
        <v/>
      </c>
      <c r="BK61" s="6" t="str">
        <f t="shared" si="3"/>
        <v/>
      </c>
    </row>
    <row r="62" ht="6" customHeight="1" spans="1:63">
      <c r="A62" s="16" t="str">
        <f>IF('2.要件一覧'!A62="","",'2.要件一覧'!A62)</f>
        <v/>
      </c>
      <c r="BJ62" s="17" t="str">
        <f>IF($A62="","",SUMPRODUCT(($B$3:$BI$3&lt;&gt;"")*($B62:BI62="○")))</f>
        <v/>
      </c>
      <c r="BK62" s="6" t="str">
        <f t="shared" si="3"/>
        <v/>
      </c>
    </row>
    <row r="63" ht="6" customHeight="1" spans="1:63">
      <c r="A63" s="16" t="str">
        <f>IF('2.要件一覧'!A63="","",'2.要件一覧'!A63)</f>
        <v/>
      </c>
      <c r="BJ63" s="17" t="str">
        <f>IF($A63="","",SUMPRODUCT(($B$3:$BI$3&lt;&gt;"")*($B63:BI63="○")))</f>
        <v/>
      </c>
      <c r="BK63" s="6" t="str">
        <f t="shared" si="3"/>
        <v/>
      </c>
    </row>
    <row r="64" ht="33" customHeight="1" spans="1:63">
      <c r="A64" s="9" t="s">
        <v>1333</v>
      </c>
      <c r="B64" s="17">
        <f t="shared" ref="B64:BI64" si="4">IF(B$3="","",SUMPRODUCT(($A$4:$A$63&lt;&gt;"")*(B$4:B$63="○")))</f>
        <v>2</v>
      </c>
      <c r="C64" s="17">
        <f t="shared" si="4"/>
        <v>2</v>
      </c>
      <c r="D64" s="17">
        <f t="shared" si="4"/>
        <v>2</v>
      </c>
      <c r="E64" s="17">
        <f t="shared" si="4"/>
        <v>2</v>
      </c>
      <c r="F64" s="17">
        <f t="shared" si="4"/>
        <v>2</v>
      </c>
      <c r="G64" s="17">
        <f t="shared" si="4"/>
        <v>2</v>
      </c>
      <c r="H64" s="17">
        <f t="shared" si="4"/>
        <v>2</v>
      </c>
      <c r="I64" s="17">
        <f t="shared" si="4"/>
        <v>2</v>
      </c>
      <c r="J64" s="17">
        <f t="shared" si="4"/>
        <v>2</v>
      </c>
      <c r="K64" s="17">
        <f t="shared" si="4"/>
        <v>2</v>
      </c>
      <c r="L64" s="17">
        <f t="shared" si="4"/>
        <v>2</v>
      </c>
      <c r="M64" s="17">
        <f t="shared" si="4"/>
        <v>2</v>
      </c>
      <c r="N64" s="17">
        <f t="shared" si="4"/>
        <v>2</v>
      </c>
      <c r="O64" s="17">
        <f t="shared" si="4"/>
        <v>1</v>
      </c>
      <c r="P64" s="17">
        <f t="shared" si="4"/>
        <v>0</v>
      </c>
      <c r="Q64" s="17">
        <f t="shared" si="4"/>
        <v>6</v>
      </c>
      <c r="R64" s="17">
        <f t="shared" si="4"/>
        <v>3</v>
      </c>
      <c r="S64" s="17">
        <f t="shared" si="4"/>
        <v>2</v>
      </c>
      <c r="T64" s="17">
        <f t="shared" si="4"/>
        <v>3</v>
      </c>
      <c r="U64" s="17">
        <f t="shared" si="4"/>
        <v>4</v>
      </c>
      <c r="V64" s="17">
        <f t="shared" si="4"/>
        <v>10</v>
      </c>
      <c r="W64" s="17">
        <f t="shared" si="4"/>
        <v>3</v>
      </c>
      <c r="X64" s="17">
        <f t="shared" si="4"/>
        <v>1</v>
      </c>
      <c r="Y64" s="17">
        <f t="shared" si="4"/>
        <v>1</v>
      </c>
      <c r="Z64" s="17">
        <f t="shared" si="4"/>
        <v>1</v>
      </c>
      <c r="AA64" s="17">
        <f t="shared" si="4"/>
        <v>2</v>
      </c>
      <c r="AB64" s="17" t="str">
        <f t="shared" si="4"/>
        <v/>
      </c>
      <c r="AC64" s="17" t="str">
        <f t="shared" si="4"/>
        <v/>
      </c>
      <c r="AD64" s="17" t="str">
        <f t="shared" si="4"/>
        <v/>
      </c>
      <c r="AE64" s="17" t="str">
        <f t="shared" si="4"/>
        <v/>
      </c>
      <c r="AF64" s="17" t="str">
        <f t="shared" si="4"/>
        <v/>
      </c>
      <c r="AG64" s="17" t="str">
        <f t="shared" si="4"/>
        <v/>
      </c>
      <c r="AH64" s="17" t="str">
        <f t="shared" si="4"/>
        <v/>
      </c>
      <c r="AI64" s="17" t="str">
        <f t="shared" si="4"/>
        <v/>
      </c>
      <c r="AJ64" s="17" t="str">
        <f t="shared" si="4"/>
        <v/>
      </c>
      <c r="AK64" s="17" t="str">
        <f t="shared" si="4"/>
        <v/>
      </c>
      <c r="AL64" s="17" t="str">
        <f t="shared" si="4"/>
        <v/>
      </c>
      <c r="AM64" s="17" t="str">
        <f t="shared" si="4"/>
        <v/>
      </c>
      <c r="AN64" s="17" t="str">
        <f t="shared" si="4"/>
        <v/>
      </c>
      <c r="AO64" s="17" t="str">
        <f t="shared" si="4"/>
        <v/>
      </c>
      <c r="AP64" s="17" t="str">
        <f t="shared" si="4"/>
        <v/>
      </c>
      <c r="AQ64" s="17" t="str">
        <f t="shared" si="4"/>
        <v/>
      </c>
      <c r="AR64" s="17" t="str">
        <f t="shared" si="4"/>
        <v/>
      </c>
      <c r="AS64" s="17" t="str">
        <f t="shared" si="4"/>
        <v/>
      </c>
      <c r="AT64" s="17" t="str">
        <f t="shared" si="4"/>
        <v/>
      </c>
      <c r="AU64" s="17" t="str">
        <f t="shared" si="4"/>
        <v/>
      </c>
      <c r="AV64" s="17" t="str">
        <f t="shared" si="4"/>
        <v/>
      </c>
      <c r="AW64" s="17" t="str">
        <f t="shared" si="4"/>
        <v/>
      </c>
      <c r="AX64" s="17" t="str">
        <f t="shared" si="4"/>
        <v/>
      </c>
      <c r="AY64" s="17" t="str">
        <f t="shared" si="4"/>
        <v/>
      </c>
      <c r="AZ64" s="17" t="str">
        <f t="shared" si="4"/>
        <v/>
      </c>
      <c r="BA64" s="17" t="str">
        <f t="shared" si="4"/>
        <v/>
      </c>
      <c r="BB64" s="17" t="str">
        <f t="shared" si="4"/>
        <v/>
      </c>
      <c r="BC64" s="17" t="str">
        <f t="shared" si="4"/>
        <v/>
      </c>
      <c r="BD64" s="17" t="str">
        <f t="shared" si="4"/>
        <v/>
      </c>
      <c r="BE64" s="17" t="str">
        <f t="shared" si="4"/>
        <v/>
      </c>
      <c r="BF64" s="17" t="str">
        <f t="shared" si="4"/>
        <v/>
      </c>
      <c r="BG64" s="17" t="str">
        <f t="shared" si="4"/>
        <v/>
      </c>
      <c r="BH64" s="17" t="str">
        <f t="shared" si="4"/>
        <v/>
      </c>
      <c r="BI64" s="17" t="str">
        <f t="shared" si="4"/>
        <v/>
      </c>
      <c r="BJ64" s="18">
        <f>SUM(BJ4:BJ63)</f>
        <v>63</v>
      </c>
    </row>
  </sheetData>
  <mergeCells count="2">
    <mergeCell ref="A1:C1"/>
    <mergeCell ref="A2:C2"/>
  </mergeCells>
  <conditionalFormatting sqref="A4:BK53">
    <cfRule type="expression" dxfId="1" priority="2">
      <formula>$BK4="⚠ 未割当"</formula>
    </cfRule>
  </conditionalFormatting>
  <conditionalFormatting sqref="B4:BI53">
    <cfRule type="expression" dxfId="2" priority="1">
      <formula>B4="○"</formula>
    </cfRule>
  </conditionalFormatting>
  <dataValidations count="1">
    <dataValidation type="list" allowBlank="1" sqref="B4:BI63">
      <formula1>"○"</formula1>
    </dataValidation>
  </dataValidations>
  <pageMargins left="0.75" right="0.75" top="1" bottom="1" header="0.5" footer="0.5"/>
  <pageSetup paperSize="1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CE6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J73" sqref="J73"/>
    </sheetView>
  </sheetViews>
  <sheetFormatPr defaultColWidth="9" defaultRowHeight="13.5"/>
  <cols>
    <col min="1" max="1" width="14" customWidth="1"/>
    <col min="2" max="15" width="6.5" customWidth="1"/>
    <col min="16" max="16" width="8.25" customWidth="1"/>
    <col min="17" max="81" width="1.75" customWidth="1"/>
    <col min="82" max="82" width="8" customWidth="1"/>
    <col min="83" max="83" width="16" customWidth="1"/>
  </cols>
  <sheetData>
    <row r="1" ht="26" customHeight="1" spans="1:83">
      <c r="A1" s="1" t="s">
        <v>1334</v>
      </c>
    </row>
    <row r="2" ht="22" customHeight="1" spans="1:83">
      <c r="A2" s="2" t="s">
        <v>1335</v>
      </c>
    </row>
    <row r="3" ht="26" customHeight="1" spans="1:83">
      <c r="A3" s="3" t="s">
        <v>1336</v>
      </c>
      <c r="B3" s="15" t="str">
        <f>IF('4.画面一覧'!A4="","",'4.画面一覧'!A4)</f>
        <v>S-01</v>
      </c>
      <c r="C3" s="15" t="str">
        <f>IF('4.画面一覧'!A5="","",'4.画面一覧'!A5)</f>
        <v>S-02</v>
      </c>
      <c r="D3" s="15" t="str">
        <f>IF('4.画面一覧'!A6="","",'4.画面一覧'!A6)</f>
        <v>S-03</v>
      </c>
      <c r="E3" s="15" t="str">
        <f>IF('4.画面一覧'!A7="","",'4.画面一覧'!A7)</f>
        <v>S-04</v>
      </c>
      <c r="F3" s="15" t="str">
        <f>IF('4.画面一覧'!A8="","",'4.画面一覧'!A8)</f>
        <v>S-05</v>
      </c>
      <c r="G3" s="15" t="str">
        <f>IF('4.画面一覧'!A9="","",'4.画面一覧'!A9)</f>
        <v>S-10</v>
      </c>
      <c r="H3" s="15" t="str">
        <f>IF('4.画面一覧'!A10="","",'4.画面一覧'!A10)</f>
        <v>S-11</v>
      </c>
      <c r="I3" s="15" t="str">
        <f>IF('4.画面一覧'!A11="","",'4.画面一覧'!A11)</f>
        <v/>
      </c>
      <c r="J3" s="15" t="str">
        <f>IF('4.画面一覧'!A12="","",'4.画面一覧'!A12)</f>
        <v/>
      </c>
      <c r="K3" s="15" t="str">
        <f>IF('4.画面一覧'!A13="","",'4.画面一覧'!A13)</f>
        <v/>
      </c>
      <c r="L3" s="15" t="str">
        <f>IF('4.画面一覧'!A14="","",'4.画面一覧'!A14)</f>
        <v/>
      </c>
      <c r="M3" s="15" t="str">
        <f>IF('4.画面一覧'!A15="","",'4.画面一覧'!A15)</f>
        <v/>
      </c>
      <c r="N3" s="15" t="str">
        <f>IF('4.画面一覧'!A16="","",'4.画面一覧'!A16)</f>
        <v/>
      </c>
      <c r="O3" s="15" t="str">
        <f>IF('4.画面一覧'!A17="","",'4.画面一覧'!A17)</f>
        <v/>
      </c>
      <c r="P3" s="15" t="str">
        <f>IF('4.画面一覧'!A18="","",'4.画面一覧'!A18)</f>
        <v/>
      </c>
      <c r="Q3" s="15" t="str">
        <f>IF('4.画面一覧'!A19="","",'4.画面一覧'!A19)</f>
        <v/>
      </c>
      <c r="R3" s="15" t="str">
        <f>IF('4.画面一覧'!A20="","",'4.画面一覧'!A20)</f>
        <v/>
      </c>
      <c r="S3" s="15" t="str">
        <f>IF('4.画面一覧'!A21="","",'4.画面一覧'!A21)</f>
        <v/>
      </c>
      <c r="T3" s="15" t="str">
        <f>IF('4.画面一覧'!A22="","",'4.画面一覧'!A22)</f>
        <v/>
      </c>
      <c r="U3" s="15" t="str">
        <f>IF('4.画面一覧'!A23="","",'4.画面一覧'!A23)</f>
        <v/>
      </c>
      <c r="V3" s="15" t="str">
        <f>IF('4.画面一覧'!A24="","",'4.画面一覧'!A24)</f>
        <v/>
      </c>
      <c r="W3" s="15" t="str">
        <f>IF('4.画面一覧'!A25="","",'4.画面一覧'!A25)</f>
        <v/>
      </c>
      <c r="X3" s="15" t="str">
        <f>IF('4.画面一覧'!A26="","",'4.画面一覧'!A26)</f>
        <v/>
      </c>
      <c r="Y3" s="15" t="str">
        <f>IF('4.画面一覧'!A27="","",'4.画面一覧'!A27)</f>
        <v/>
      </c>
      <c r="Z3" s="15" t="str">
        <f>IF('4.画面一覧'!A28="","",'4.画面一覧'!A28)</f>
        <v/>
      </c>
      <c r="AA3" s="15" t="str">
        <f>IF('4.画面一覧'!A29="","",'4.画面一覧'!A29)</f>
        <v/>
      </c>
      <c r="AB3" s="15" t="str">
        <f>IF('4.画面一覧'!A30="","",'4.画面一覧'!A30)</f>
        <v/>
      </c>
      <c r="AC3" s="15" t="str">
        <f>IF('4.画面一覧'!A31="","",'4.画面一覧'!A31)</f>
        <v/>
      </c>
      <c r="AD3" s="15" t="str">
        <f>IF('4.画面一覧'!A32="","",'4.画面一覧'!A32)</f>
        <v/>
      </c>
      <c r="AE3" s="15" t="str">
        <f>IF('4.画面一覧'!A33="","",'4.画面一覧'!A33)</f>
        <v/>
      </c>
      <c r="AF3" s="15" t="str">
        <f>IF('4.画面一覧'!A34="","",'4.画面一覧'!A34)</f>
        <v/>
      </c>
      <c r="AG3" s="15" t="str">
        <f>IF('4.画面一覧'!A35="","",'4.画面一覧'!A35)</f>
        <v/>
      </c>
      <c r="AH3" s="15" t="str">
        <f>IF('4.画面一覧'!A36="","",'4.画面一覧'!A36)</f>
        <v/>
      </c>
      <c r="AI3" s="15" t="str">
        <f>IF('4.画面一覧'!A37="","",'4.画面一覧'!A37)</f>
        <v/>
      </c>
      <c r="AJ3" s="15" t="str">
        <f>IF('4.画面一覧'!A38="","",'4.画面一覧'!A38)</f>
        <v/>
      </c>
      <c r="AK3" s="15" t="str">
        <f>IF('4.画面一覧'!A39="","",'4.画面一覧'!A39)</f>
        <v/>
      </c>
      <c r="AL3" s="15" t="str">
        <f>IF('4.画面一覧'!A40="","",'4.画面一覧'!A40)</f>
        <v/>
      </c>
      <c r="AM3" s="15" t="str">
        <f>IF('4.画面一覧'!A41="","",'4.画面一覧'!A41)</f>
        <v/>
      </c>
      <c r="AN3" s="15" t="str">
        <f>IF('4.画面一覧'!A42="","",'4.画面一覧'!A42)</f>
        <v/>
      </c>
      <c r="AO3" s="15" t="str">
        <f>IF('4.画面一覧'!A43="","",'4.画面一覧'!A43)</f>
        <v/>
      </c>
      <c r="AP3" s="15" t="str">
        <f>IF('4.画面一覧'!A44="","",'4.画面一覧'!A44)</f>
        <v/>
      </c>
      <c r="AQ3" s="15" t="str">
        <f>IF('4.画面一覧'!A45="","",'4.画面一覧'!A45)</f>
        <v/>
      </c>
      <c r="AR3" s="15" t="str">
        <f>IF('4.画面一覧'!A46="","",'4.画面一覧'!A46)</f>
        <v/>
      </c>
      <c r="AS3" s="15" t="str">
        <f>IF('4.画面一覧'!A47="","",'4.画面一覧'!A47)</f>
        <v/>
      </c>
      <c r="AT3" s="15" t="str">
        <f>IF('4.画面一覧'!A48="","",'4.画面一覧'!A48)</f>
        <v/>
      </c>
      <c r="AU3" s="15" t="str">
        <f>IF('4.画面一覧'!A49="","",'4.画面一覧'!A49)</f>
        <v/>
      </c>
      <c r="AV3" s="15" t="str">
        <f>IF('4.画面一覧'!A50="","",'4.画面一覧'!A50)</f>
        <v/>
      </c>
      <c r="AW3" s="15" t="str">
        <f>IF('4.画面一覧'!A51="","",'4.画面一覧'!A51)</f>
        <v/>
      </c>
      <c r="AX3" s="15" t="str">
        <f>IF('4.画面一覧'!A52="","",'4.画面一覧'!A52)</f>
        <v/>
      </c>
      <c r="AY3" s="15" t="str">
        <f>IF('4.画面一覧'!A53="","",'4.画面一覧'!A53)</f>
        <v/>
      </c>
      <c r="AZ3" s="15" t="str">
        <f>IF('4.画面一覧'!A54="","",'4.画面一覧'!A54)</f>
        <v/>
      </c>
      <c r="BA3" s="15" t="str">
        <f>IF('4.画面一覧'!A55="","",'4.画面一覧'!A55)</f>
        <v/>
      </c>
      <c r="BB3" s="15" t="str">
        <f>IF('4.画面一覧'!A56="","",'4.画面一覧'!A56)</f>
        <v/>
      </c>
      <c r="BC3" s="15" t="str">
        <f>IF('4.画面一覧'!A57="","",'4.画面一覧'!A57)</f>
        <v/>
      </c>
      <c r="BD3" s="15" t="str">
        <f>IF('4.画面一覧'!A58="","",'4.画面一覧'!A58)</f>
        <v/>
      </c>
      <c r="BE3" s="15" t="str">
        <f>IF('4.画面一覧'!A59="","",'4.画面一覧'!A59)</f>
        <v/>
      </c>
      <c r="BF3" s="15" t="str">
        <f>IF('4.画面一覧'!A60="","",'4.画面一覧'!A60)</f>
        <v/>
      </c>
      <c r="BG3" s="15" t="str">
        <f>IF('4.画面一覧'!A61="","",'4.画面一覧'!A61)</f>
        <v/>
      </c>
      <c r="BH3" s="15" t="str">
        <f>IF('4.画面一覧'!A62="","",'4.画面一覧'!A62)</f>
        <v/>
      </c>
      <c r="BI3" s="15" t="str">
        <f>IF('4.画面一覧'!A63="","",'4.画面一覧'!A63)</f>
        <v/>
      </c>
      <c r="BJ3" s="15" t="str">
        <f>IF('4.画面一覧'!A64="","",'4.画面一覧'!A64)</f>
        <v/>
      </c>
      <c r="BK3" s="15" t="str">
        <f>IF('4.画面一覧'!A65="","",'4.画面一覧'!A65)</f>
        <v/>
      </c>
      <c r="BL3" s="15" t="str">
        <f>IF('4.画面一覧'!A66="","",'4.画面一覧'!A66)</f>
        <v/>
      </c>
      <c r="BM3" s="15" t="str">
        <f>IF('4.画面一覧'!A67="","",'4.画面一覧'!A67)</f>
        <v/>
      </c>
      <c r="BN3" s="15" t="str">
        <f>IF('4.画面一覧'!A68="","",'4.画面一覧'!A68)</f>
        <v/>
      </c>
      <c r="BO3" s="15" t="str">
        <f>IF('4.画面一覧'!A69="","",'4.画面一覧'!A69)</f>
        <v/>
      </c>
      <c r="BP3" s="15" t="str">
        <f>IF('4.画面一覧'!A70="","",'4.画面一覧'!A70)</f>
        <v/>
      </c>
      <c r="BQ3" s="15" t="str">
        <f>IF('4.画面一覧'!A71="","",'4.画面一覧'!A71)</f>
        <v/>
      </c>
      <c r="BR3" s="15" t="str">
        <f>IF('4.画面一覧'!A72="","",'4.画面一覧'!A72)</f>
        <v/>
      </c>
      <c r="BS3" s="15" t="str">
        <f>IF('4.画面一覧'!A73="","",'4.画面一覧'!A73)</f>
        <v/>
      </c>
      <c r="BT3" s="15" t="str">
        <f>IF('4.画面一覧'!A74="","",'4.画面一覧'!A74)</f>
        <v/>
      </c>
      <c r="BU3" s="15" t="str">
        <f>IF('4.画面一覧'!A75="","",'4.画面一覧'!A75)</f>
        <v/>
      </c>
      <c r="BV3" s="15" t="str">
        <f>IF('4.画面一覧'!A76="","",'4.画面一覧'!A76)</f>
        <v/>
      </c>
      <c r="BW3" s="15" t="str">
        <f>IF('4.画面一覧'!A77="","",'4.画面一覧'!A77)</f>
        <v/>
      </c>
      <c r="BX3" s="15" t="str">
        <f>IF('4.画面一覧'!A78="","",'4.画面一覧'!A78)</f>
        <v/>
      </c>
      <c r="BY3" s="15" t="str">
        <f>IF('4.画面一覧'!A79="","",'4.画面一覧'!A79)</f>
        <v/>
      </c>
      <c r="BZ3" s="15" t="str">
        <f>IF('4.画面一覧'!A80="","",'4.画面一覧'!A80)</f>
        <v/>
      </c>
      <c r="CA3" s="15" t="str">
        <f>IF('4.画面一覧'!A81="","",'4.画面一覧'!A81)</f>
        <v/>
      </c>
      <c r="CB3" s="15" t="str">
        <f>IF('4.画面一覧'!A82="","",'4.画面一覧'!A82)</f>
        <v/>
      </c>
      <c r="CC3" s="15" t="str">
        <f>IF('4.画面一覧'!A83="","",'4.画面一覧'!A83)</f>
        <v/>
      </c>
      <c r="CD3" s="9" t="s">
        <v>1331</v>
      </c>
      <c r="CE3" s="9" t="s">
        <v>151</v>
      </c>
    </row>
    <row r="4" ht="17" customHeight="1" spans="1:83">
      <c r="A4" s="16" t="str">
        <f>IF('3.機能一覧'!A4="","",'3.機能一覧'!A4)</f>
        <v>F-01</v>
      </c>
      <c r="B4" s="5" t="s">
        <v>1332</v>
      </c>
      <c r="C4" s="5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17">
        <f>IF($A4="","",SUMPRODUCT(($B$3:$CC$3&lt;&gt;"")*($B4:CC4="○")))</f>
        <v>1</v>
      </c>
      <c r="CE4" s="6" t="str">
        <f t="shared" ref="CE4:CE63" si="0">IF($A4="","",IF($CD4=0,"⚠ 未割当","OK"))</f>
        <v>OK</v>
      </c>
    </row>
    <row r="5" ht="17" customHeight="1" spans="1:83">
      <c r="A5" s="16" t="str">
        <f>IF('3.機能一覧'!A5="","",'3.機能一覧'!A5)</f>
        <v>F-02</v>
      </c>
      <c r="B5" s="5"/>
      <c r="C5" s="5" t="s">
        <v>1332</v>
      </c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17">
        <f>IF($A5="","",SUMPRODUCT(($B$3:$CC$3&lt;&gt;"")*($B5:CC5="○")))</f>
        <v>1</v>
      </c>
      <c r="CE5" s="6" t="str">
        <f t="shared" si="0"/>
        <v>OK</v>
      </c>
    </row>
    <row r="6" ht="17" customHeight="1" spans="1:83">
      <c r="A6" s="16" t="str">
        <f>IF('3.機能一覧'!A6="","",'3.機能一覧'!A6)</f>
        <v>F-03</v>
      </c>
      <c r="B6" s="5"/>
      <c r="C6" s="5"/>
      <c r="D6" s="5"/>
      <c r="E6" s="5"/>
      <c r="F6" s="5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17">
        <f>IF($A6="","",SUMPRODUCT(($B$3:$CC$3&lt;&gt;"")*($B6:CC6="○")))</f>
        <v>0</v>
      </c>
      <c r="CE6" s="6" t="str">
        <f t="shared" si="0"/>
        <v>⚠ 未割当</v>
      </c>
    </row>
    <row r="7" ht="17" customHeight="1" spans="1:83">
      <c r="A7" s="16" t="str">
        <f>IF('3.機能一覧'!A7="","",'3.機能一覧'!A7)</f>
        <v>F-04</v>
      </c>
      <c r="B7" s="5"/>
      <c r="C7" s="5"/>
      <c r="D7" s="5" t="s">
        <v>1332</v>
      </c>
      <c r="E7" s="5"/>
      <c r="F7" s="5"/>
      <c r="G7" s="5"/>
      <c r="H7" s="6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17">
        <f>IF($A7="","",SUMPRODUCT(($B$3:$CC$3&lt;&gt;"")*($B7:CC7="○")))</f>
        <v>1</v>
      </c>
      <c r="CE7" s="6" t="str">
        <f t="shared" si="0"/>
        <v>OK</v>
      </c>
    </row>
    <row r="8" ht="17" customHeight="1" spans="1:83">
      <c r="A8" s="16" t="str">
        <f>IF('3.機能一覧'!A8="","",'3.機能一覧'!A8)</f>
        <v>F-05</v>
      </c>
      <c r="B8" s="5"/>
      <c r="C8" s="5"/>
      <c r="D8" s="5" t="s">
        <v>1332</v>
      </c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17">
        <f>IF($A8="","",SUMPRODUCT(($B$3:$CC$3&lt;&gt;"")*($B8:CC8="○")))</f>
        <v>1</v>
      </c>
      <c r="CE8" s="6" t="str">
        <f t="shared" si="0"/>
        <v>OK</v>
      </c>
    </row>
    <row r="9" ht="17" customHeight="1" spans="1:83">
      <c r="A9" s="16" t="str">
        <f>IF('3.機能一覧'!A9="","",'3.機能一覧'!A9)</f>
        <v>F-06</v>
      </c>
      <c r="B9" s="5"/>
      <c r="C9" s="5"/>
      <c r="D9" s="5" t="s">
        <v>1332</v>
      </c>
      <c r="E9" s="5"/>
      <c r="F9" s="5"/>
      <c r="G9" s="5"/>
      <c r="H9" s="5"/>
      <c r="I9" s="5"/>
      <c r="J9" s="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17">
        <f>IF($A9="","",SUMPRODUCT(($B$3:$CC$3&lt;&gt;"")*($B9:CC9="○")))</f>
        <v>1</v>
      </c>
      <c r="CE9" s="6" t="str">
        <f t="shared" si="0"/>
        <v>OK</v>
      </c>
    </row>
    <row r="10" ht="17" customHeight="1" spans="1:83">
      <c r="A10" s="16" t="str">
        <f>IF('3.機能一覧'!A10="","",'3.機能一覧'!A10)</f>
        <v>F-07</v>
      </c>
      <c r="B10" s="5"/>
      <c r="C10" s="5"/>
      <c r="D10" s="5" t="s">
        <v>1332</v>
      </c>
      <c r="E10" s="5"/>
      <c r="F10" s="5"/>
      <c r="G10" s="5"/>
      <c r="H10" s="5"/>
      <c r="I10" s="5"/>
      <c r="J10" s="5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17">
        <f>IF($A10="","",SUMPRODUCT(($B$3:$CC$3&lt;&gt;"")*($B10:CC10="○")))</f>
        <v>1</v>
      </c>
      <c r="CE10" s="6" t="str">
        <f t="shared" si="0"/>
        <v>OK</v>
      </c>
    </row>
    <row r="11" ht="17" customHeight="1" spans="1:83">
      <c r="A11" s="16" t="str">
        <f>IF('3.機能一覧'!A11="","",'3.機能一覧'!A11)</f>
        <v>F-08</v>
      </c>
      <c r="B11" s="5"/>
      <c r="C11" s="5"/>
      <c r="D11" s="5" t="s">
        <v>1332</v>
      </c>
      <c r="E11" s="5"/>
      <c r="F11" s="5"/>
      <c r="G11" s="5"/>
      <c r="H11" s="5"/>
      <c r="I11" s="5"/>
      <c r="J11" s="5"/>
      <c r="K11" s="5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17">
        <f>IF($A11="","",SUMPRODUCT(($B$3:$CC$3&lt;&gt;"")*($B11:CC11="○")))</f>
        <v>1</v>
      </c>
      <c r="CE11" s="6" t="str">
        <f t="shared" si="0"/>
        <v>OK</v>
      </c>
    </row>
    <row r="12" ht="17" customHeight="1" spans="1:83">
      <c r="A12" s="16" t="str">
        <f>IF('3.機能一覧'!A12="","",'3.機能一覧'!A12)</f>
        <v>F-09</v>
      </c>
      <c r="B12" s="5"/>
      <c r="C12" s="5"/>
      <c r="D12" s="5" t="s">
        <v>1332</v>
      </c>
      <c r="E12" s="5"/>
      <c r="F12" s="5"/>
      <c r="G12" s="5"/>
      <c r="H12" s="5"/>
      <c r="I12" s="5"/>
      <c r="J12" s="5"/>
      <c r="K12" s="5"/>
      <c r="L12" s="5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17">
        <f>IF($A12="","",SUMPRODUCT(($B$3:$CC$3&lt;&gt;"")*($B12:CC12="○")))</f>
        <v>1</v>
      </c>
      <c r="CE12" s="6" t="str">
        <f t="shared" si="0"/>
        <v>OK</v>
      </c>
    </row>
    <row r="13" ht="17" customHeight="1" spans="1:83">
      <c r="A13" s="16" t="str">
        <f>IF('3.機能一覧'!A13="","",'3.機能一覧'!A13)</f>
        <v>F-10</v>
      </c>
      <c r="B13" s="6"/>
      <c r="C13" s="6"/>
      <c r="D13" s="5"/>
      <c r="E13" s="5" t="s">
        <v>1332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17">
        <f>IF($A13="","",SUMPRODUCT(($B$3:$CC$3&lt;&gt;"")*($B13:CC13="○")))</f>
        <v>1</v>
      </c>
      <c r="CE13" s="6" t="str">
        <f t="shared" si="0"/>
        <v>OK</v>
      </c>
    </row>
    <row r="14" ht="17" customHeight="1" spans="1:83">
      <c r="A14" s="16" t="str">
        <f>IF('3.機能一覧'!A14="","",'3.機能一覧'!A14)</f>
        <v>F-11</v>
      </c>
      <c r="B14" s="5"/>
      <c r="C14" s="5"/>
      <c r="D14" s="5"/>
      <c r="E14" s="5" t="s">
        <v>1332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17">
        <f>IF($A14="","",SUMPRODUCT(($B$3:$CC$3&lt;&gt;"")*($B14:CC14="○")))</f>
        <v>1</v>
      </c>
      <c r="CE14" s="6" t="str">
        <f t="shared" si="0"/>
        <v>OK</v>
      </c>
    </row>
    <row r="15" ht="17" customHeight="1" spans="1:83">
      <c r="A15" s="16" t="str">
        <f>IF('3.機能一覧'!A15="","",'3.機能一覧'!A15)</f>
        <v>F-12</v>
      </c>
      <c r="B15" s="5"/>
      <c r="C15" s="5"/>
      <c r="D15" s="5"/>
      <c r="E15" s="5" t="s">
        <v>1332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17">
        <f>IF($A15="","",SUMPRODUCT(($B$3:$CC$3&lt;&gt;"")*($B15:CC15="○")))</f>
        <v>1</v>
      </c>
      <c r="CE15" s="6" t="str">
        <f t="shared" si="0"/>
        <v>OK</v>
      </c>
    </row>
    <row r="16" ht="17" customHeight="1" spans="1:83">
      <c r="A16" s="16" t="str">
        <f>IF('3.機能一覧'!A16="","",'3.機能一覧'!A16)</f>
        <v>F-13</v>
      </c>
      <c r="B16" s="5"/>
      <c r="C16" s="5"/>
      <c r="D16" s="5"/>
      <c r="E16" s="5" t="s">
        <v>1332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17">
        <f>IF($A16="","",SUMPRODUCT(($B$3:$CC$3&lt;&gt;"")*($B16:CC16="○")))</f>
        <v>1</v>
      </c>
      <c r="CE16" s="6" t="str">
        <f t="shared" si="0"/>
        <v>OK</v>
      </c>
    </row>
    <row r="17" ht="17" customHeight="1" spans="1:83">
      <c r="A17" s="16" t="str">
        <f>IF('3.機能一覧'!A17="","",'3.機能一覧'!A17)</f>
        <v>F-14</v>
      </c>
      <c r="B17" s="5"/>
      <c r="C17" s="5"/>
      <c r="D17" s="5"/>
      <c r="E17" s="5"/>
      <c r="F17" s="5" t="s">
        <v>1332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17">
        <f>IF($A17="","",SUMPRODUCT(($B$3:$CC$3&lt;&gt;"")*($B17:CC17="○")))</f>
        <v>1</v>
      </c>
      <c r="CE17" s="6" t="str">
        <f t="shared" si="0"/>
        <v>OK</v>
      </c>
    </row>
    <row r="18" ht="17" customHeight="1" spans="1:83">
      <c r="A18" s="16" t="str">
        <f>IF('3.機能一覧'!A18="","",'3.機能一覧'!A18)</f>
        <v>F-15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17">
        <f>IF($A18="","",SUMPRODUCT(($B$3:$CC$3&lt;&gt;"")*($B18:CC18="○")))</f>
        <v>0</v>
      </c>
      <c r="CE18" s="6" t="str">
        <f t="shared" si="0"/>
        <v>⚠ 未割当</v>
      </c>
    </row>
    <row r="19" ht="17" customHeight="1" spans="1:83">
      <c r="A19" s="16" t="str">
        <f>IF('3.機能一覧'!A19="","",'3.機能一覧'!A19)</f>
        <v>F-20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17">
        <f>IF($A19="","",SUMPRODUCT(($B$3:$CC$3&lt;&gt;"")*($B19:CC19="○")))</f>
        <v>0</v>
      </c>
      <c r="CE19" s="6" t="str">
        <f t="shared" si="0"/>
        <v>⚠ 未割当</v>
      </c>
    </row>
    <row r="20" ht="17" customHeight="1" spans="1:83">
      <c r="A20" s="16" t="str">
        <f>IF('3.機能一覧'!A20="","",'3.機能一覧'!A20)</f>
        <v>F-21</v>
      </c>
      <c r="B20" s="5"/>
      <c r="C20" s="5"/>
      <c r="D20" s="5"/>
      <c r="E20" s="5" t="s">
        <v>1332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17">
        <f>IF($A20="","",SUMPRODUCT(($B$3:$CC$3&lt;&gt;"")*($B20:CC20="○")))</f>
        <v>1</v>
      </c>
      <c r="CE20" s="6" t="str">
        <f t="shared" si="0"/>
        <v>OK</v>
      </c>
    </row>
    <row r="21" ht="17" customHeight="1" spans="1:83">
      <c r="A21" s="16" t="str">
        <f>IF('3.機能一覧'!A21="","",'3.機能一覧'!A21)</f>
        <v>F-22</v>
      </c>
      <c r="B21" s="5"/>
      <c r="C21" s="5"/>
      <c r="D21" s="5"/>
      <c r="E21" s="5"/>
      <c r="F21" s="5"/>
      <c r="G21" s="5" t="s">
        <v>1332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17">
        <f>IF($A21="","",SUMPRODUCT(($B$3:$CC$3&lt;&gt;"")*($B21:CC21="○")))</f>
        <v>1</v>
      </c>
      <c r="CE21" s="6" t="str">
        <f t="shared" si="0"/>
        <v>OK</v>
      </c>
    </row>
    <row r="22" ht="17" customHeight="1" spans="1:83">
      <c r="A22" s="16" t="str">
        <f>IF('3.機能一覧'!A22="","",'3.機能一覧'!A22)</f>
        <v>F-23</v>
      </c>
      <c r="B22" s="5"/>
      <c r="C22" s="5"/>
      <c r="D22" s="5"/>
      <c r="E22" s="5"/>
      <c r="F22" s="5"/>
      <c r="G22" s="5"/>
      <c r="H22" s="5" t="s">
        <v>1332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17">
        <f>IF($A22="","",SUMPRODUCT(($B$3:$CC$3&lt;&gt;"")*($B22:CC22="○")))</f>
        <v>1</v>
      </c>
      <c r="CE22" s="6" t="str">
        <f t="shared" si="0"/>
        <v>OK</v>
      </c>
    </row>
    <row r="23" ht="17" customHeight="1" spans="1:83">
      <c r="A23" s="16" t="str">
        <f>IF('3.機能一覧'!A23="","",'3.機能一覧'!A23)</f>
        <v>F-24</v>
      </c>
      <c r="B23" s="5"/>
      <c r="C23" s="5"/>
      <c r="D23" s="5"/>
      <c r="E23" s="5"/>
      <c r="F23" s="5"/>
      <c r="G23" s="5"/>
      <c r="H23" s="5" t="s">
        <v>1332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17">
        <f>IF($A23="","",SUMPRODUCT(($B$3:$CC$3&lt;&gt;"")*($B23:CC23="○")))</f>
        <v>1</v>
      </c>
      <c r="CE23" s="6" t="str">
        <f t="shared" si="0"/>
        <v>OK</v>
      </c>
    </row>
    <row r="24" ht="17" customHeight="1" spans="1:83">
      <c r="A24" s="16" t="str">
        <f>IF('3.機能一覧'!A24="","",'3.機能一覧'!A24)</f>
        <v>F-25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17">
        <f>IF($A24="","",SUMPRODUCT(($B$3:$CC$3&lt;&gt;"")*($B24:CC24="○")))</f>
        <v>0</v>
      </c>
      <c r="CE24" s="6" t="str">
        <f t="shared" si="0"/>
        <v>⚠ 未割当</v>
      </c>
    </row>
    <row r="25" ht="17" customHeight="1" spans="1:83">
      <c r="A25" s="16" t="str">
        <f>IF('3.機能一覧'!A25="","",'3.機能一覧'!A25)</f>
        <v>F-26</v>
      </c>
      <c r="B25" s="5"/>
      <c r="C25" s="5"/>
      <c r="D25" s="5"/>
      <c r="E25" s="5"/>
      <c r="F25" s="5"/>
      <c r="G25" s="5"/>
      <c r="H25" s="5" t="s">
        <v>1332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17">
        <f>IF($A25="","",SUMPRODUCT(($B$3:$CC$3&lt;&gt;"")*($B25:CC25="○")))</f>
        <v>1</v>
      </c>
      <c r="CE25" s="6" t="str">
        <f t="shared" si="0"/>
        <v>OK</v>
      </c>
    </row>
    <row r="26" ht="17" customHeight="1" spans="1:83">
      <c r="A26" s="16" t="str">
        <f>IF('3.機能一覧'!A26="","",'3.機能一覧'!A26)</f>
        <v>F-30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17">
        <f>IF($A26="","",SUMPRODUCT(($B$3:$CC$3&lt;&gt;"")*($B26:CC26="○")))</f>
        <v>0</v>
      </c>
      <c r="CE26" s="6" t="str">
        <f t="shared" si="0"/>
        <v>⚠ 未割当</v>
      </c>
    </row>
    <row r="27" ht="17" customHeight="1" spans="1:83">
      <c r="A27" s="16" t="str">
        <f>IF('3.機能一覧'!A27="","",'3.機能一覧'!A27)</f>
        <v>F-31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17">
        <f>IF($A27="","",SUMPRODUCT(($B$3:$CC$3&lt;&gt;"")*($B27:CC27="○")))</f>
        <v>0</v>
      </c>
      <c r="CE27" s="6" t="str">
        <f t="shared" si="0"/>
        <v>⚠ 未割当</v>
      </c>
    </row>
    <row r="28" ht="17" customHeight="1" spans="1:83">
      <c r="A28" s="16" t="str">
        <f>IF('3.機能一覧'!A28="","",'3.機能一覧'!A28)</f>
        <v>F-32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17">
        <f>IF($A28="","",SUMPRODUCT(($B$3:$CC$3&lt;&gt;"")*($B28:CC28="○")))</f>
        <v>0</v>
      </c>
      <c r="CE28" s="6" t="str">
        <f t="shared" si="0"/>
        <v>⚠ 未割当</v>
      </c>
    </row>
    <row r="29" ht="17" customHeight="1" spans="1:83">
      <c r="A29" s="16" t="str">
        <f>IF('3.機能一覧'!A29="","",'3.機能一覧'!A29)</f>
        <v>F-33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17">
        <f>IF($A29="","",SUMPRODUCT(($B$3:$CC$3&lt;&gt;"")*($B29:CC29="○")))</f>
        <v>0</v>
      </c>
      <c r="CE29" s="6" t="str">
        <f t="shared" si="0"/>
        <v>⚠ 未割当</v>
      </c>
    </row>
    <row r="30" ht="17" customHeight="1" spans="1:83">
      <c r="A30" s="16" t="str">
        <f>IF('3.機能一覧'!A30="","",'3.機能一覧'!A30)</f>
        <v/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17" t="str">
        <f>IF($A30="","",SUMPRODUCT(($B$3:$CC$3&lt;&gt;"")*($B30:CC30="○")))</f>
        <v/>
      </c>
      <c r="CE30" s="6" t="str">
        <f t="shared" si="0"/>
        <v/>
      </c>
    </row>
    <row r="31" ht="8" customHeight="1" spans="1:83">
      <c r="A31" s="16" t="str">
        <f>IF('3.機能一覧'!A31="","",'3.機能一覧'!A31)</f>
        <v/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17" t="str">
        <f>IF($A31="","",SUMPRODUCT(($B$3:$CC$3&lt;&gt;"")*($B31:CC31="○")))</f>
        <v/>
      </c>
      <c r="CE31" s="6" t="str">
        <f t="shared" si="0"/>
        <v/>
      </c>
    </row>
    <row r="32" ht="8" customHeight="1" spans="1:83">
      <c r="A32" s="16" t="str">
        <f>IF('3.機能一覧'!A32="","",'3.機能一覧'!A32)</f>
        <v/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17" t="str">
        <f>IF($A32="","",SUMPRODUCT(($B$3:$CC$3&lt;&gt;"")*($B32:CC32="○")))</f>
        <v/>
      </c>
      <c r="CE32" s="6" t="str">
        <f t="shared" si="0"/>
        <v/>
      </c>
    </row>
    <row r="33" ht="8" customHeight="1" spans="1:83">
      <c r="A33" s="16" t="str">
        <f>IF('3.機能一覧'!A33="","",'3.機能一覧'!A33)</f>
        <v/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17" t="str">
        <f>IF($A33="","",SUMPRODUCT(($B$3:$CC$3&lt;&gt;"")*($B33:CC33="○")))</f>
        <v/>
      </c>
      <c r="CE33" s="6" t="str">
        <f t="shared" si="0"/>
        <v/>
      </c>
    </row>
    <row r="34" ht="8" customHeight="1" spans="1:83">
      <c r="A34" s="16" t="str">
        <f>IF('3.機能一覧'!A34="","",'3.機能一覧'!A34)</f>
        <v/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17" t="str">
        <f>IF($A34="","",SUMPRODUCT(($B$3:$CC$3&lt;&gt;"")*($B34:CC34="○")))</f>
        <v/>
      </c>
      <c r="CE34" s="6" t="str">
        <f t="shared" si="0"/>
        <v/>
      </c>
    </row>
    <row r="35" ht="8" customHeight="1" spans="1:83">
      <c r="A35" s="16" t="str">
        <f>IF('3.機能一覧'!A35="","",'3.機能一覧'!A35)</f>
        <v/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17" t="str">
        <f>IF($A35="","",SUMPRODUCT(($B$3:$CC$3&lt;&gt;"")*($B35:CC35="○")))</f>
        <v/>
      </c>
      <c r="CE35" s="6" t="str">
        <f t="shared" si="0"/>
        <v/>
      </c>
    </row>
    <row r="36" ht="8" customHeight="1" spans="1:83">
      <c r="A36" s="16" t="str">
        <f>IF('3.機能一覧'!A36="","",'3.機能一覧'!A36)</f>
        <v/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17" t="str">
        <f>IF($A36="","",SUMPRODUCT(($B$3:$CC$3&lt;&gt;"")*($B36:CC36="○")))</f>
        <v/>
      </c>
      <c r="CE36" s="6" t="str">
        <f t="shared" si="0"/>
        <v/>
      </c>
    </row>
    <row r="37" ht="8" customHeight="1" spans="1:83">
      <c r="A37" s="16" t="str">
        <f>IF('3.機能一覧'!A37="","",'3.機能一覧'!A37)</f>
        <v/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17" t="str">
        <f>IF($A37="","",SUMPRODUCT(($B$3:$CC$3&lt;&gt;"")*($B37:CC37="○")))</f>
        <v/>
      </c>
      <c r="CE37" s="6" t="str">
        <f t="shared" si="0"/>
        <v/>
      </c>
    </row>
    <row r="38" ht="8" customHeight="1" spans="1:83">
      <c r="A38" s="16" t="str">
        <f>IF('3.機能一覧'!A38="","",'3.機能一覧'!A38)</f>
        <v/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17" t="str">
        <f>IF($A38="","",SUMPRODUCT(($B$3:$CC$3&lt;&gt;"")*($B38:CC38="○")))</f>
        <v/>
      </c>
      <c r="CE38" s="6" t="str">
        <f t="shared" si="0"/>
        <v/>
      </c>
    </row>
    <row r="39" ht="8" customHeight="1" spans="1:83">
      <c r="A39" s="16" t="str">
        <f>IF('3.機能一覧'!A39="","",'3.機能一覧'!A39)</f>
        <v/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17" t="str">
        <f>IF($A39="","",SUMPRODUCT(($B$3:$CC$3&lt;&gt;"")*($B39:CC39="○")))</f>
        <v/>
      </c>
      <c r="CE39" s="6" t="str">
        <f t="shared" si="0"/>
        <v/>
      </c>
    </row>
    <row r="40" ht="8" customHeight="1" spans="1:83">
      <c r="A40" s="16" t="str">
        <f>IF('3.機能一覧'!A40="","",'3.機能一覧'!A40)</f>
        <v/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17" t="str">
        <f>IF($A40="","",SUMPRODUCT(($B$3:$CC$3&lt;&gt;"")*($B40:CC40="○")))</f>
        <v/>
      </c>
      <c r="CE40" s="6" t="str">
        <f t="shared" si="0"/>
        <v/>
      </c>
    </row>
    <row r="41" ht="8" customHeight="1" spans="1:83">
      <c r="A41" s="16" t="str">
        <f>IF('3.機能一覧'!A41="","",'3.機能一覧'!A41)</f>
        <v/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17" t="str">
        <f>IF($A41="","",SUMPRODUCT(($B$3:$CC$3&lt;&gt;"")*($B41:CC41="○")))</f>
        <v/>
      </c>
      <c r="CE41" s="6" t="str">
        <f t="shared" si="0"/>
        <v/>
      </c>
    </row>
    <row r="42" ht="8" customHeight="1" spans="1:83">
      <c r="A42" s="16" t="str">
        <f>IF('3.機能一覧'!A42="","",'3.機能一覧'!A42)</f>
        <v/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17" t="str">
        <f>IF($A42="","",SUMPRODUCT(($B$3:$CC$3&lt;&gt;"")*($B42:CC42="○")))</f>
        <v/>
      </c>
      <c r="CE42" s="6" t="str">
        <f t="shared" si="0"/>
        <v/>
      </c>
    </row>
    <row r="43" ht="8" customHeight="1" spans="1:83">
      <c r="A43" s="16" t="str">
        <f>IF('3.機能一覧'!A43="","",'3.機能一覧'!A43)</f>
        <v/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17" t="str">
        <f>IF($A43="","",SUMPRODUCT(($B$3:$CC$3&lt;&gt;"")*($B43:CC43="○")))</f>
        <v/>
      </c>
      <c r="CE43" s="6" t="str">
        <f t="shared" si="0"/>
        <v/>
      </c>
    </row>
    <row r="44" ht="8" customHeight="1" spans="1:83">
      <c r="A44" s="16" t="str">
        <f>IF('3.機能一覧'!A44="","",'3.機能一覧'!A44)</f>
        <v/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17" t="str">
        <f>IF($A44="","",SUMPRODUCT(($B$3:$CC$3&lt;&gt;"")*($B44:CC44="○")))</f>
        <v/>
      </c>
      <c r="CE44" s="6" t="str">
        <f t="shared" si="0"/>
        <v/>
      </c>
    </row>
    <row r="45" ht="8" customHeight="1" spans="1:83">
      <c r="A45" s="16" t="str">
        <f>IF('3.機能一覧'!A45="","",'3.機能一覧'!A45)</f>
        <v/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17" t="str">
        <f>IF($A45="","",SUMPRODUCT(($B$3:$CC$3&lt;&gt;"")*($B45:CC45="○")))</f>
        <v/>
      </c>
      <c r="CE45" s="6" t="str">
        <f t="shared" si="0"/>
        <v/>
      </c>
    </row>
    <row r="46" ht="8" customHeight="1" spans="1:83">
      <c r="A46" s="16" t="str">
        <f>IF('3.機能一覧'!A46="","",'3.機能一覧'!A46)</f>
        <v/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17" t="str">
        <f>IF($A46="","",SUMPRODUCT(($B$3:$CC$3&lt;&gt;"")*($B46:CC46="○")))</f>
        <v/>
      </c>
      <c r="CE46" s="6" t="str">
        <f t="shared" si="0"/>
        <v/>
      </c>
    </row>
    <row r="47" ht="8" customHeight="1" spans="1:83">
      <c r="A47" s="16" t="str">
        <f>IF('3.機能一覧'!A47="","",'3.機能一覧'!A47)</f>
        <v/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7" t="str">
        <f>IF($A47="","",SUMPRODUCT(($B$3:$CC$3&lt;&gt;"")*($B47:CC47="○")))</f>
        <v/>
      </c>
      <c r="CE47" s="6" t="str">
        <f t="shared" si="0"/>
        <v/>
      </c>
    </row>
    <row r="48" ht="8" customHeight="1" spans="1:83">
      <c r="A48" s="16" t="str">
        <f>IF('3.機能一覧'!A48="","",'3.機能一覧'!A48)</f>
        <v/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17" t="str">
        <f>IF($A48="","",SUMPRODUCT(($B$3:$CC$3&lt;&gt;"")*($B48:CC48="○")))</f>
        <v/>
      </c>
      <c r="CE48" s="6" t="str">
        <f t="shared" si="0"/>
        <v/>
      </c>
    </row>
    <row r="49" ht="8" customHeight="1" spans="1:83">
      <c r="A49" s="16" t="str">
        <f>IF('3.機能一覧'!A49="","",'3.機能一覧'!A49)</f>
        <v/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17" t="str">
        <f>IF($A49="","",SUMPRODUCT(($B$3:$CC$3&lt;&gt;"")*($B49:CC49="○")))</f>
        <v/>
      </c>
      <c r="CE49" s="6" t="str">
        <f t="shared" si="0"/>
        <v/>
      </c>
    </row>
    <row r="50" ht="8" customHeight="1" spans="1:83">
      <c r="A50" s="16" t="str">
        <f>IF('3.機能一覧'!A50="","",'3.機能一覧'!A50)</f>
        <v/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17" t="str">
        <f>IF($A50="","",SUMPRODUCT(($B$3:$CC$3&lt;&gt;"")*($B50:CC50="○")))</f>
        <v/>
      </c>
      <c r="CE50" s="6" t="str">
        <f t="shared" si="0"/>
        <v/>
      </c>
    </row>
    <row r="51" ht="8" customHeight="1" spans="1:83">
      <c r="A51" s="16" t="str">
        <f>IF('3.機能一覧'!A51="","",'3.機能一覧'!A51)</f>
        <v/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17" t="str">
        <f>IF($A51="","",SUMPRODUCT(($B$3:$CC$3&lt;&gt;"")*($B51:CC51="○")))</f>
        <v/>
      </c>
      <c r="CE51" s="6" t="str">
        <f t="shared" si="0"/>
        <v/>
      </c>
    </row>
    <row r="52" ht="8" customHeight="1" spans="1:83">
      <c r="A52" s="16" t="str">
        <f>IF('3.機能一覧'!A52="","",'3.機能一覧'!A52)</f>
        <v/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17" t="str">
        <f>IF($A52="","",SUMPRODUCT(($B$3:$CC$3&lt;&gt;"")*($B52:CC52="○")))</f>
        <v/>
      </c>
      <c r="CE52" s="6" t="str">
        <f t="shared" si="0"/>
        <v/>
      </c>
    </row>
    <row r="53" ht="8" customHeight="1" spans="1:83">
      <c r="A53" s="16" t="str">
        <f>IF('3.機能一覧'!A53="","",'3.機能一覧'!A53)</f>
        <v/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17" t="str">
        <f>IF($A53="","",SUMPRODUCT(($B$3:$CC$3&lt;&gt;"")*($B53:CC53="○")))</f>
        <v/>
      </c>
      <c r="CE53" s="6" t="str">
        <f t="shared" si="0"/>
        <v/>
      </c>
    </row>
    <row r="54" ht="8" customHeight="1" spans="1:83">
      <c r="A54" s="16" t="str">
        <f>IF('3.機能一覧'!A54="","",'3.機能一覧'!A54)</f>
        <v/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17" t="str">
        <f>IF($A54="","",SUMPRODUCT(($B$3:$CC$3&lt;&gt;"")*($B54:CC54="○")))</f>
        <v/>
      </c>
      <c r="CE54" s="6" t="str">
        <f t="shared" si="0"/>
        <v/>
      </c>
    </row>
    <row r="55" ht="8" customHeight="1" spans="1:83">
      <c r="A55" s="16" t="str">
        <f>IF('3.機能一覧'!A55="","",'3.機能一覧'!A55)</f>
        <v/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17" t="str">
        <f>IF($A55="","",SUMPRODUCT(($B$3:$CC$3&lt;&gt;"")*($B55:CC55="○")))</f>
        <v/>
      </c>
      <c r="CE55" s="6" t="str">
        <f t="shared" si="0"/>
        <v/>
      </c>
    </row>
    <row r="56" ht="8" customHeight="1" spans="1:83">
      <c r="A56" s="16" t="str">
        <f>IF('3.機能一覧'!A56="","",'3.機能一覧'!A56)</f>
        <v/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17" t="str">
        <f>IF($A56="","",SUMPRODUCT(($B$3:$CC$3&lt;&gt;"")*($B56:CC56="○")))</f>
        <v/>
      </c>
      <c r="CE56" s="6" t="str">
        <f t="shared" si="0"/>
        <v/>
      </c>
    </row>
    <row r="57" ht="8" customHeight="1" spans="1:83">
      <c r="A57" s="16" t="str">
        <f>IF('3.機能一覧'!A57="","",'3.機能一覧'!A57)</f>
        <v/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17" t="str">
        <f>IF($A57="","",SUMPRODUCT(($B$3:$CC$3&lt;&gt;"")*($B57:CC57="○")))</f>
        <v/>
      </c>
      <c r="CE57" s="6" t="str">
        <f t="shared" si="0"/>
        <v/>
      </c>
    </row>
    <row r="58" ht="8" customHeight="1" spans="1:83">
      <c r="A58" s="16" t="str">
        <f>IF('3.機能一覧'!A58="","",'3.機能一覧'!A58)</f>
        <v/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17" t="str">
        <f>IF($A58="","",SUMPRODUCT(($B$3:$CC$3&lt;&gt;"")*($B58:CC58="○")))</f>
        <v/>
      </c>
      <c r="CE58" s="6" t="str">
        <f t="shared" si="0"/>
        <v/>
      </c>
    </row>
    <row r="59" ht="8" customHeight="1" spans="1:83">
      <c r="A59" s="16" t="str">
        <f>IF('3.機能一覧'!A59="","",'3.機能一覧'!A59)</f>
        <v/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17" t="str">
        <f>IF($A59="","",SUMPRODUCT(($B$3:$CC$3&lt;&gt;"")*($B59:CC59="○")))</f>
        <v/>
      </c>
      <c r="CE59" s="6" t="str">
        <f t="shared" si="0"/>
        <v/>
      </c>
    </row>
    <row r="60" ht="8" customHeight="1" spans="1:83">
      <c r="A60" s="16" t="str">
        <f>IF('3.機能一覧'!A60="","",'3.機能一覧'!A60)</f>
        <v/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17" t="str">
        <f>IF($A60="","",SUMPRODUCT(($B$3:$CC$3&lt;&gt;"")*($B60:CC60="○")))</f>
        <v/>
      </c>
      <c r="CE60" s="6" t="str">
        <f t="shared" si="0"/>
        <v/>
      </c>
    </row>
    <row r="61" ht="8" customHeight="1" spans="1:83">
      <c r="A61" s="16" t="str">
        <f>IF('3.機能一覧'!A61="","",'3.機能一覧'!A61)</f>
        <v/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17" t="str">
        <f>IF($A61="","",SUMPRODUCT(($B$3:$CC$3&lt;&gt;"")*($B61:CC61="○")))</f>
        <v/>
      </c>
      <c r="CE61" s="6" t="str">
        <f t="shared" si="0"/>
        <v/>
      </c>
    </row>
    <row r="62" ht="8" customHeight="1" spans="1:83">
      <c r="A62" s="16" t="str">
        <f>IF('3.機能一覧'!A62="","",'3.機能一覧'!A62)</f>
        <v/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17" t="str">
        <f>IF($A62="","",SUMPRODUCT(($B$3:$CC$3&lt;&gt;"")*($B62:CC62="○")))</f>
        <v/>
      </c>
      <c r="CE62" s="6" t="str">
        <f t="shared" si="0"/>
        <v/>
      </c>
    </row>
    <row r="63" ht="8" customHeight="1" spans="1:83">
      <c r="A63" s="16" t="str">
        <f>IF('3.機能一覧'!A63="","",'3.機能一覧'!A63)</f>
        <v/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17" t="str">
        <f>IF($A63="","",SUMPRODUCT(($B$3:$CC$3&lt;&gt;"")*($B63:CC63="○")))</f>
        <v/>
      </c>
      <c r="CE63" s="6" t="str">
        <f t="shared" si="0"/>
        <v/>
      </c>
    </row>
    <row r="64" ht="33" customHeight="1" spans="1:83">
      <c r="A64" s="9" t="s">
        <v>1337</v>
      </c>
      <c r="B64" s="17">
        <f t="shared" ref="B64:BM64" si="1">IF(B$3="","",SUMPRODUCT(($A$4:$A$63&lt;&gt;"")*(B$4:B$63="○")))</f>
        <v>1</v>
      </c>
      <c r="C64" s="17">
        <f t="shared" si="1"/>
        <v>1</v>
      </c>
      <c r="D64" s="17">
        <f t="shared" si="1"/>
        <v>6</v>
      </c>
      <c r="E64" s="17">
        <f t="shared" si="1"/>
        <v>5</v>
      </c>
      <c r="F64" s="17">
        <f t="shared" si="1"/>
        <v>1</v>
      </c>
      <c r="G64" s="17">
        <f t="shared" si="1"/>
        <v>1</v>
      </c>
      <c r="H64" s="17">
        <f t="shared" si="1"/>
        <v>3</v>
      </c>
      <c r="I64" s="17" t="str">
        <f t="shared" si="1"/>
        <v/>
      </c>
      <c r="J64" s="17" t="str">
        <f t="shared" si="1"/>
        <v/>
      </c>
      <c r="K64" s="17" t="str">
        <f t="shared" si="1"/>
        <v/>
      </c>
      <c r="L64" s="17" t="str">
        <f t="shared" si="1"/>
        <v/>
      </c>
      <c r="M64" s="17" t="str">
        <f t="shared" si="1"/>
        <v/>
      </c>
      <c r="N64" s="17" t="str">
        <f t="shared" si="1"/>
        <v/>
      </c>
      <c r="O64" s="17" t="str">
        <f t="shared" si="1"/>
        <v/>
      </c>
      <c r="P64" s="17" t="str">
        <f t="shared" si="1"/>
        <v/>
      </c>
      <c r="Q64" s="17" t="str">
        <f t="shared" si="1"/>
        <v/>
      </c>
      <c r="R64" s="17" t="str">
        <f t="shared" si="1"/>
        <v/>
      </c>
      <c r="S64" s="17" t="str">
        <f t="shared" si="1"/>
        <v/>
      </c>
      <c r="T64" s="17" t="str">
        <f t="shared" si="1"/>
        <v/>
      </c>
      <c r="U64" s="17" t="str">
        <f t="shared" si="1"/>
        <v/>
      </c>
      <c r="V64" s="17" t="str">
        <f t="shared" si="1"/>
        <v/>
      </c>
      <c r="W64" s="17" t="str">
        <f t="shared" si="1"/>
        <v/>
      </c>
      <c r="X64" s="17" t="str">
        <f t="shared" si="1"/>
        <v/>
      </c>
      <c r="Y64" s="17" t="str">
        <f t="shared" si="1"/>
        <v/>
      </c>
      <c r="Z64" s="17" t="str">
        <f t="shared" si="1"/>
        <v/>
      </c>
      <c r="AA64" s="17" t="str">
        <f t="shared" si="1"/>
        <v/>
      </c>
      <c r="AB64" s="17" t="str">
        <f t="shared" si="1"/>
        <v/>
      </c>
      <c r="AC64" s="17" t="str">
        <f t="shared" si="1"/>
        <v/>
      </c>
      <c r="AD64" s="17" t="str">
        <f t="shared" si="1"/>
        <v/>
      </c>
      <c r="AE64" s="17" t="str">
        <f t="shared" si="1"/>
        <v/>
      </c>
      <c r="AF64" s="17" t="str">
        <f t="shared" si="1"/>
        <v/>
      </c>
      <c r="AG64" s="17" t="str">
        <f t="shared" si="1"/>
        <v/>
      </c>
      <c r="AH64" s="17" t="str">
        <f t="shared" si="1"/>
        <v/>
      </c>
      <c r="AI64" s="17" t="str">
        <f t="shared" si="1"/>
        <v/>
      </c>
      <c r="AJ64" s="17" t="str">
        <f t="shared" si="1"/>
        <v/>
      </c>
      <c r="AK64" s="17" t="str">
        <f t="shared" si="1"/>
        <v/>
      </c>
      <c r="AL64" s="17" t="str">
        <f t="shared" si="1"/>
        <v/>
      </c>
      <c r="AM64" s="17" t="str">
        <f t="shared" si="1"/>
        <v/>
      </c>
      <c r="AN64" s="17" t="str">
        <f t="shared" si="1"/>
        <v/>
      </c>
      <c r="AO64" s="17" t="str">
        <f t="shared" si="1"/>
        <v/>
      </c>
      <c r="AP64" s="17" t="str">
        <f t="shared" si="1"/>
        <v/>
      </c>
      <c r="AQ64" s="17" t="str">
        <f t="shared" si="1"/>
        <v/>
      </c>
      <c r="AR64" s="17" t="str">
        <f t="shared" si="1"/>
        <v/>
      </c>
      <c r="AS64" s="17" t="str">
        <f t="shared" si="1"/>
        <v/>
      </c>
      <c r="AT64" s="17" t="str">
        <f t="shared" si="1"/>
        <v/>
      </c>
      <c r="AU64" s="17" t="str">
        <f t="shared" si="1"/>
        <v/>
      </c>
      <c r="AV64" s="17" t="str">
        <f t="shared" si="1"/>
        <v/>
      </c>
      <c r="AW64" s="17" t="str">
        <f t="shared" si="1"/>
        <v/>
      </c>
      <c r="AX64" s="17" t="str">
        <f t="shared" si="1"/>
        <v/>
      </c>
      <c r="AY64" s="17" t="str">
        <f t="shared" si="1"/>
        <v/>
      </c>
      <c r="AZ64" s="17" t="str">
        <f t="shared" si="1"/>
        <v/>
      </c>
      <c r="BA64" s="17" t="str">
        <f t="shared" si="1"/>
        <v/>
      </c>
      <c r="BB64" s="17" t="str">
        <f t="shared" si="1"/>
        <v/>
      </c>
      <c r="BC64" s="17" t="str">
        <f t="shared" si="1"/>
        <v/>
      </c>
      <c r="BD64" s="17" t="str">
        <f t="shared" si="1"/>
        <v/>
      </c>
      <c r="BE64" s="17" t="str">
        <f t="shared" si="1"/>
        <v/>
      </c>
      <c r="BF64" s="17" t="str">
        <f t="shared" si="1"/>
        <v/>
      </c>
      <c r="BG64" s="17" t="str">
        <f t="shared" si="1"/>
        <v/>
      </c>
      <c r="BH64" s="17" t="str">
        <f t="shared" si="1"/>
        <v/>
      </c>
      <c r="BI64" s="17" t="str">
        <f t="shared" si="1"/>
        <v/>
      </c>
      <c r="BJ64" s="17" t="str">
        <f t="shared" si="1"/>
        <v/>
      </c>
      <c r="BK64" s="17" t="str">
        <f t="shared" si="1"/>
        <v/>
      </c>
      <c r="BL64" s="17" t="str">
        <f t="shared" si="1"/>
        <v/>
      </c>
      <c r="BM64" s="17" t="str">
        <f t="shared" si="1"/>
        <v/>
      </c>
      <c r="BN64" s="17" t="str">
        <f t="shared" ref="BN64:CC64" si="2">IF(BN$3="","",SUMPRODUCT(($A$4:$A$63&lt;&gt;"")*(BN$4:BN$63="○")))</f>
        <v/>
      </c>
      <c r="BO64" s="17" t="str">
        <f t="shared" si="2"/>
        <v/>
      </c>
      <c r="BP64" s="17" t="str">
        <f t="shared" si="2"/>
        <v/>
      </c>
      <c r="BQ64" s="17" t="str">
        <f t="shared" si="2"/>
        <v/>
      </c>
      <c r="BR64" s="17" t="str">
        <f t="shared" si="2"/>
        <v/>
      </c>
      <c r="BS64" s="17" t="str">
        <f t="shared" si="2"/>
        <v/>
      </c>
      <c r="BT64" s="17" t="str">
        <f t="shared" si="2"/>
        <v/>
      </c>
      <c r="BU64" s="17" t="str">
        <f t="shared" si="2"/>
        <v/>
      </c>
      <c r="BV64" s="17" t="str">
        <f t="shared" si="2"/>
        <v/>
      </c>
      <c r="BW64" s="17" t="str">
        <f t="shared" si="2"/>
        <v/>
      </c>
      <c r="BX64" s="17" t="str">
        <f t="shared" si="2"/>
        <v/>
      </c>
      <c r="BY64" s="17" t="str">
        <f t="shared" si="2"/>
        <v/>
      </c>
      <c r="BZ64" s="17" t="str">
        <f t="shared" si="2"/>
        <v/>
      </c>
      <c r="CA64" s="17" t="str">
        <f t="shared" si="2"/>
        <v/>
      </c>
      <c r="CB64" s="17" t="str">
        <f t="shared" si="2"/>
        <v/>
      </c>
      <c r="CC64" s="17" t="str">
        <f t="shared" si="2"/>
        <v/>
      </c>
      <c r="CD64" s="18">
        <f>SUM(CD4:CD63)</f>
        <v>18</v>
      </c>
    </row>
  </sheetData>
  <mergeCells count="2">
    <mergeCell ref="A1:C1"/>
    <mergeCell ref="A2:C2"/>
  </mergeCells>
  <conditionalFormatting sqref="A4:CE63">
    <cfRule type="expression" dxfId="1" priority="2">
      <formula>$CE4="⚠ 未割当"</formula>
    </cfRule>
  </conditionalFormatting>
  <conditionalFormatting sqref="B4:CC63">
    <cfRule type="expression" dxfId="2" priority="1">
      <formula>B4="○"</formula>
    </cfRule>
  </conditionalFormatting>
  <dataValidations count="1">
    <dataValidation type="list" allowBlank="1" sqref="B4:CC63">
      <formula1>"○"</formula1>
    </dataValidation>
  </dataValidations>
  <pageMargins left="0.75" right="0.75" top="1" bottom="1" header="0.5" footer="0.5"/>
  <pageSetup paperSize="1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G16"/>
  <sheetViews>
    <sheetView workbookViewId="0">
      <selection activeCell="D47" sqref="D47"/>
    </sheetView>
  </sheetViews>
  <sheetFormatPr defaultColWidth="9" defaultRowHeight="13.5" outlineLevelCol="6"/>
  <cols>
    <col min="1" max="1" width="4" customWidth="1"/>
    <col min="2" max="2" width="30" customWidth="1"/>
    <col min="3" max="4" width="14" customWidth="1"/>
    <col min="5" max="5" width="12" customWidth="1"/>
    <col min="6" max="6" width="60" customWidth="1"/>
    <col min="7" max="7" width="58" customWidth="1"/>
  </cols>
  <sheetData>
    <row r="1" ht="26" customHeight="1" spans="1:7">
      <c r="A1" s="1" t="s">
        <v>1338</v>
      </c>
    </row>
    <row r="2" ht="22" customHeight="1" spans="1:7">
      <c r="A2" s="2" t="s">
        <v>1339</v>
      </c>
    </row>
    <row r="4" ht="28" customHeight="1" spans="1:7">
      <c r="B4" s="3" t="s">
        <v>1340</v>
      </c>
      <c r="C4" s="3" t="s">
        <v>1341</v>
      </c>
      <c r="D4" s="3" t="s">
        <v>1342</v>
      </c>
      <c r="E4" s="3" t="s">
        <v>1343</v>
      </c>
      <c r="F4" s="3" t="s">
        <v>151</v>
      </c>
      <c r="G4" s="3" t="s">
        <v>1344</v>
      </c>
    </row>
    <row r="5" ht="32" customHeight="1" spans="1:7">
      <c r="B5" s="4" t="s">
        <v>1345</v>
      </c>
      <c r="C5" s="5">
        <f>COUNTA('2.要件一覧'!$A$4:$A$63)</f>
        <v>52</v>
      </c>
      <c r="D5" s="6">
        <f>SUMPRODUCT(('2.要件一覧'!$A$4:$A$63&lt;&gt;"")*('2.要件一覧'!$I$4:$I$63="⚠ 未割当"))</f>
        <v>3</v>
      </c>
      <c r="E5" s="7">
        <f>IF($C5=0,"-",($C5-$D5)/$C5)</f>
        <v>0.942307692307692</v>
      </c>
      <c r="F5" s="6" t="str">
        <f>IF($C5=0,"-",IF($D5=0,"OK","⚠ 要対応"))</f>
        <v>⚠ 要対応</v>
      </c>
      <c r="G5" s="8" t="s">
        <v>1346</v>
      </c>
    </row>
    <row r="6" ht="32" customHeight="1" spans="1:7">
      <c r="B6" s="4" t="s">
        <v>1347</v>
      </c>
      <c r="C6" s="5">
        <f>COUNTA('3.機能一覧'!$A$4:$A$63)</f>
        <v>26</v>
      </c>
      <c r="D6" s="6">
        <f>SUMPRODUCT(('3.機能一覧'!$A$4:$A$63&lt;&gt;"")*('3.機能一覧'!$H$4:$H$63=0))</f>
        <v>1</v>
      </c>
      <c r="E6" s="7">
        <f>IF($C6=0,"-",($C6-$D6)/$C6)</f>
        <v>0.961538461538462</v>
      </c>
      <c r="F6" s="6" t="str">
        <f>IF($C6=0,"-",IF($D6=0,"OK","⚠ 要対応"))</f>
        <v>⚠ 要対応</v>
      </c>
      <c r="G6" s="8" t="s">
        <v>1348</v>
      </c>
    </row>
    <row r="7" ht="32" customHeight="1" spans="1:7">
      <c r="B7" s="4" t="s">
        <v>1349</v>
      </c>
      <c r="C7" s="5">
        <f>COUNTA('3.機能一覧'!$A$4:$A$63)</f>
        <v>26</v>
      </c>
      <c r="D7" s="6">
        <f>SUMPRODUCT(('3.機能一覧'!$A$4:$A$63&lt;&gt;"")*('3.機能一覧'!$I$4:$I$63=0))</f>
        <v>8</v>
      </c>
      <c r="E7" s="7">
        <f>IF($C7=0,"-",($C7-$D7)/$C7)</f>
        <v>0.692307692307692</v>
      </c>
      <c r="F7" s="6" t="str">
        <f>IF($C7=0,"-",IF($D7=0,"OK","⚠ 要対応"))</f>
        <v>⚠ 要対応</v>
      </c>
      <c r="G7" s="8" t="s">
        <v>1350</v>
      </c>
    </row>
    <row r="8" ht="32" customHeight="1" spans="1:7">
      <c r="B8" s="4" t="s">
        <v>1351</v>
      </c>
      <c r="C8" s="5">
        <f>COUNTA('4.画面一覧'!$A$4:$A$83)</f>
        <v>7</v>
      </c>
      <c r="D8" s="6">
        <f>SUMPRODUCT(('4.画面一覧'!$A$4:$A$83&lt;&gt;"")*('4.画面一覧'!$G$4:$G$83=0))</f>
        <v>0</v>
      </c>
      <c r="E8" s="7">
        <f>IF($C8=0,"-",($C8-$D8)/$C8)</f>
        <v>1</v>
      </c>
      <c r="F8" s="6" t="str">
        <f>IF($C8=0,"-",IF($D8=0,"OK","⚠ 要対応"))</f>
        <v>OK</v>
      </c>
      <c r="G8" s="8" t="s">
        <v>1352</v>
      </c>
    </row>
    <row r="10" ht="30" customHeight="1" spans="1:7">
      <c r="B10" s="9" t="s">
        <v>1353</v>
      </c>
      <c r="C10" s="10" t="str">
        <f>IF(SUM($D$5:$D$8)=0,"✅ 全て割当済み（缺口 0 件）","⚠ 未割当 "&amp;SUM($D$5:$D$8)&amp;" 件あり — 去 2〜4 各表看橙色行")</f>
        <v>⚠ 未割当 12 件あり — 去 2〜4 各表看橙色行</v>
      </c>
      <c r="D10" s="11"/>
      <c r="E10" s="11"/>
      <c r="F10" s="11"/>
      <c r="G10" s="12"/>
    </row>
    <row r="12" ht="15" customHeight="1" spans="1:7">
      <c r="B12" s="13" t="s">
        <v>1354</v>
      </c>
    </row>
    <row r="13" ht="22" customHeight="1" spans="1:7">
      <c r="B13" s="4" t="s">
        <v>1355</v>
      </c>
      <c r="C13" s="14">
        <f>'14.要件×機能行列'!$BJ$64</f>
        <v>63</v>
      </c>
    </row>
    <row r="14" ht="22" customHeight="1" spans="1:7">
      <c r="B14" s="4" t="s">
        <v>1356</v>
      </c>
      <c r="C14" s="14">
        <f>'15.機能×画面行列'!$CD$64</f>
        <v>18</v>
      </c>
    </row>
    <row r="15" ht="22" customHeight="1" spans="1:7">
      <c r="B15" s="4" t="s">
        <v>1357</v>
      </c>
      <c r="C15" s="14">
        <f>IFERROR('14.要件×機能行列'!$BJ$64/$C$5,"-")</f>
        <v>1.21153846153846</v>
      </c>
    </row>
    <row r="16" ht="22" customHeight="1" spans="1:7">
      <c r="B16" s="4" t="s">
        <v>1358</v>
      </c>
      <c r="C16" s="14">
        <f>IFERROR('15.機能×画面行列'!$CD$64/$C$6,"-")</f>
        <v>0.692307692307692</v>
      </c>
    </row>
  </sheetData>
  <mergeCells count="3">
    <mergeCell ref="A1:F1"/>
    <mergeCell ref="A2:F2"/>
    <mergeCell ref="C10:G10"/>
  </mergeCells>
  <conditionalFormatting sqref="F5:F8">
    <cfRule type="expression" dxfId="0" priority="2">
      <formula>$F5="OK"</formula>
    </cfRule>
  </conditionalFormatting>
  <conditionalFormatting sqref="D5:F8">
    <cfRule type="expression" dxfId="1" priority="1">
      <formula>$D5&gt;0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引用文档一览</vt:lpstr>
      <vt:lpstr>1.使い方</vt:lpstr>
      <vt:lpstr>2.要件一覧</vt:lpstr>
      <vt:lpstr>3.機能一覧</vt:lpstr>
      <vt:lpstr>4.画面一覧</vt:lpstr>
      <vt:lpstr>5.BIZ一覧</vt:lpstr>
      <vt:lpstr>6.ルール一覧</vt:lpstr>
      <vt:lpstr>7.用語集</vt:lpstr>
      <vt:lpstr>8.IF・CD・CF・A一覧</vt:lpstr>
      <vt:lpstr>9.MV一覧</vt:lpstr>
      <vt:lpstr>10.TC一覧</vt:lpstr>
      <vt:lpstr>11.画面項目・MSG</vt:lpstr>
      <vt:lpstr>12.課題・決策・CHK内部ID</vt:lpstr>
      <vt:lpstr>13.文書ID台帳</vt:lpstr>
      <vt:lpstr>14.要件×機能行列</vt:lpstr>
      <vt:lpstr>15.機能×画面行列</vt:lpstr>
      <vt:lpstr>16.サマリー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朝歌</cp:lastModifiedBy>
  <dcterms:created xsi:type="dcterms:W3CDTF">2026-08-31T12:20:00Z</dcterms:created>
  <dcterms:modified xsi:type="dcterms:W3CDTF">2026-09-01T10:29:52Z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{"Label":"1","ContentProducer":"001191440300708461136T1WFUO","ProduceID":"a81d8548875169f33271afbe6236fdaa-sbLm","ReservedCode1":"{\"Type\":\" TC260PG\",\"Version\":1,\"Bindings\":[{\"Type\":\"soft\",\"AlgID\":\"sm3\",\"Value\":\"8fede7bb757ed925dda2821d2bfe8287197c18ee42027b53f5f7e4bf2a775797\"},{\"Type\":\"hash\",\"AlgID\":\"sm3\",\"Value\":\"78a1ad236f107ca5fc976e6dc185940f77af6a2f34bfbd9a86b9b18111b1bfab\"}],\"PubSD\":[{\"Type\":\"DS\",\"AlgID\":\"sm2\",\"TBSData\":{\"Type\":\"Binding\",\"BType\":\"hash\"},\"Signature\":\"304402204208f76ef65f48cf71cfd6296b12852050483b85411aabe5a052ae72a0bec2e4022052febfce65c4c4f0d558a1ce51e5818667f2e6c57335511c2dab39fdf8f85b5a\"},{\"Type\":\"PubKey\",\"AlgID\":\"sm2\",\"KeyValue\":\"0407f79b28a17a752b3aae4305c98b48978213832729a2571850b1310b2bc9fe8fee039ccf25ebfeac27502414d9fcef792d777183c98893d226171c2f7a3289a2\"}],\"Extension\":{\"Timestamp\":1788178957,\"KeyVersion\":\"v1-TxLeOmf7bqU223\"}}","ContentPropagator":"001191440300708461136T1WFUO","PropagateID":"a81d8548875169f33271afbe6236fdaa-sbLm","ReservedCode2":"{\"Type\":\" TC260PG\",\"Version\":1,\"Bindings\":[{\"Type\":\"soft\",\"AlgID\":\"sm3\",\"Value\":\"8fede7bb757ed925dda2821d2bfe8287197c18ee42027b53f5f7e4bf2a775797\"},{\"Type\":\"hash\",\"AlgID\":\"sm3\",\"Value\":\"78a1ad236f107ca5fc976e6dc185940f77af6a2f34bfbd9a86b9b18111b1bfab\"}],\"PubSD\":[{\"Type\":\"DS\",\"AlgID\":\"sm2\",\"TBSData\":{\"Type\":\"Binding\",\"BType\":\"hash\"},\"Signature\":\"304502205d131244ae4391a34a39d5710070714a56f91469cdb88ac0200a6e83230209880221008b6ffb29db72bc356895118e07dc085820f92deeff4bf15286bc0f40e47da3cd\"},{\"Type\":\"PubKey\",\"AlgID\":\"sm2\",\"KeyValue\":\"0407f79b28a17a752b3aae4305c98b48978213832729a2571850b1310b2bc9fe8fee039ccf25ebfeac27502414d9fcef792d777183c98893d226171c2f7a3289a2\"}],\"Extension\":{\"Timestamp\":1788178957,\"KeyVersion\":\"v1-TxLeOmf7bqU223\"}}"}</vt:lpwstr>
  </property>
  <property fmtid="{D5CDD505-2E9C-101B-9397-08002B2CF9AE}" pid="3" name="ICV">
    <vt:lpwstr>BB4FADD6A1AF4D3FAC6149CD917631EA_12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